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[MTOUR]고은주 250701\◈[다낭]-엠투어\[다낭정산서]\"/>
    </mc:Choice>
  </mc:AlternateContent>
  <xr:revisionPtr revIDLastSave="0" documentId="13_ncr:1_{EE1FB069-5F57-4C44-A3D4-BDF3C967EE8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정산서양식" sheetId="1" r:id="rId1"/>
  </sheets>
  <definedNames>
    <definedName name="_xlnm.Print_Area" localSheetId="0">정산서양식!$A$1:$S$88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75" i="1" l="1"/>
  <c r="S75" i="1" l="1"/>
  <c r="Q72" i="1"/>
  <c r="Q73" i="1" l="1"/>
  <c r="D76" i="1" l="1"/>
  <c r="R51" i="1" l="1"/>
  <c r="R50" i="1"/>
  <c r="R49" i="1"/>
  <c r="R48" i="1"/>
  <c r="R47" i="1"/>
  <c r="R46" i="1"/>
  <c r="R45" i="1"/>
  <c r="R44" i="1"/>
  <c r="R43" i="1"/>
  <c r="R42" i="1"/>
  <c r="R41" i="1"/>
  <c r="R52" i="1" l="1"/>
  <c r="J52" i="1" s="1"/>
  <c r="P8" i="1"/>
  <c r="H32" i="1" l="1"/>
  <c r="O57" i="1" l="1"/>
  <c r="S57" i="1" s="1"/>
  <c r="R30" i="1"/>
  <c r="R31" i="1"/>
  <c r="R32" i="1"/>
  <c r="R33" i="1"/>
  <c r="O69" i="1"/>
  <c r="S69" i="1" s="1"/>
  <c r="O70" i="1"/>
  <c r="S70" i="1" s="1"/>
  <c r="P72" i="1"/>
  <c r="P73" i="1" s="1"/>
  <c r="O63" i="1"/>
  <c r="S63" i="1" s="1"/>
  <c r="O62" i="1"/>
  <c r="S62" i="1" s="1"/>
  <c r="O61" i="1"/>
  <c r="S61" i="1" s="1"/>
  <c r="O60" i="1"/>
  <c r="S60" i="1" s="1"/>
  <c r="H49" i="1"/>
  <c r="H48" i="1"/>
  <c r="R17" i="1"/>
  <c r="R18" i="1"/>
  <c r="R19" i="1"/>
  <c r="R20" i="1"/>
  <c r="H17" i="1"/>
  <c r="H18" i="1"/>
  <c r="H19" i="1"/>
  <c r="H20" i="1"/>
  <c r="D83" i="1"/>
  <c r="H51" i="1"/>
  <c r="H50" i="1"/>
  <c r="H47" i="1"/>
  <c r="H46" i="1"/>
  <c r="H45" i="1"/>
  <c r="H44" i="1"/>
  <c r="R81" i="1"/>
  <c r="D82" i="1"/>
  <c r="M72" i="1"/>
  <c r="H72" i="1"/>
  <c r="F72" i="1"/>
  <c r="D80" i="1" s="1"/>
  <c r="D72" i="1"/>
  <c r="O71" i="1"/>
  <c r="S71" i="1" s="1"/>
  <c r="O68" i="1"/>
  <c r="S68" i="1" s="1"/>
  <c r="O67" i="1"/>
  <c r="S67" i="1" s="1"/>
  <c r="O66" i="1"/>
  <c r="S66" i="1" s="1"/>
  <c r="O65" i="1"/>
  <c r="S65" i="1" s="1"/>
  <c r="O64" i="1"/>
  <c r="S64" i="1" s="1"/>
  <c r="O59" i="1"/>
  <c r="S59" i="1" s="1"/>
  <c r="O58" i="1"/>
  <c r="S58" i="1" s="1"/>
  <c r="H43" i="1"/>
  <c r="H42" i="1"/>
  <c r="H41" i="1"/>
  <c r="R36" i="1"/>
  <c r="H36" i="1"/>
  <c r="R35" i="1"/>
  <c r="H35" i="1"/>
  <c r="R34" i="1"/>
  <c r="H34" i="1"/>
  <c r="H33" i="1"/>
  <c r="H31" i="1"/>
  <c r="H30" i="1"/>
  <c r="R29" i="1"/>
  <c r="H29" i="1"/>
  <c r="R28" i="1"/>
  <c r="H28" i="1"/>
  <c r="R23" i="1"/>
  <c r="H23" i="1"/>
  <c r="R22" i="1"/>
  <c r="H22" i="1"/>
  <c r="R21" i="1"/>
  <c r="H21" i="1"/>
  <c r="R16" i="1"/>
  <c r="H16" i="1"/>
  <c r="R15" i="1"/>
  <c r="H15" i="1"/>
  <c r="R11" i="1"/>
  <c r="H79" i="1" s="1"/>
  <c r="P10" i="1"/>
  <c r="P9" i="1"/>
  <c r="O84" i="1"/>
  <c r="O72" i="1" l="1"/>
  <c r="S55" i="1" s="1"/>
  <c r="H52" i="1"/>
  <c r="J37" i="1"/>
  <c r="J38" i="1" s="1"/>
  <c r="J24" i="1"/>
  <c r="J25" i="1" s="1"/>
  <c r="P11" i="1"/>
  <c r="J12" i="1" s="1"/>
  <c r="H81" i="1" l="1"/>
  <c r="S72" i="1"/>
  <c r="D81" i="1" s="1"/>
  <c r="J53" i="1"/>
  <c r="H82" i="1" s="1"/>
  <c r="H80" i="1"/>
  <c r="J79" i="1"/>
  <c r="J84" i="1" s="1"/>
  <c r="H84" i="1" l="1"/>
  <c r="H85" i="1" s="1"/>
  <c r="N75" i="1"/>
  <c r="H75" i="1"/>
  <c r="J75" i="1" s="1"/>
  <c r="R79" i="1"/>
  <c r="R84" i="1" s="1"/>
  <c r="R85" i="1" s="1"/>
  <c r="D84" i="1"/>
  <c r="Q75" i="1" l="1"/>
  <c r="F86" i="1"/>
  <c r="R86" i="1" s="1"/>
  <c r="R87" i="1" s="1"/>
</calcChain>
</file>

<file path=xl/sharedStrings.xml><?xml version="1.0" encoding="utf-8"?>
<sst xmlns="http://schemas.openxmlformats.org/spreadsheetml/2006/main" count="128" uniqueCount="97">
  <si>
    <t>회사총수익(수익-지출)</t>
  </si>
  <si>
    <t>행 사 기 간</t>
  </si>
  <si>
    <t>호 텔 명</t>
  </si>
  <si>
    <t>입 장 표</t>
  </si>
  <si>
    <t>내   역</t>
  </si>
  <si>
    <t>내  역</t>
  </si>
  <si>
    <t>기타지출</t>
  </si>
  <si>
    <t>쇼
핑
수
익</t>
  </si>
  <si>
    <t>쇼    핑</t>
  </si>
  <si>
    <t>옵   션</t>
  </si>
  <si>
    <t>SALE</t>
  </si>
  <si>
    <t>쇼핑수익</t>
  </si>
  <si>
    <t>옵션수익</t>
  </si>
  <si>
    <t>T/C정산공제</t>
  </si>
  <si>
    <t>판매총액</t>
  </si>
  <si>
    <t>COM.</t>
  </si>
  <si>
    <t>차량비(추가)</t>
  </si>
  <si>
    <t>정산내역</t>
  </si>
  <si>
    <t>수 익 총 액</t>
  </si>
  <si>
    <t>지 출 총 액</t>
  </si>
  <si>
    <t>정    산</t>
  </si>
  <si>
    <t>구   분</t>
  </si>
  <si>
    <t>가이드지출</t>
  </si>
  <si>
    <t>회사지출</t>
  </si>
  <si>
    <t>기타포함사항</t>
  </si>
  <si>
    <t>쇼핑컴+옵션컴</t>
  </si>
  <si>
    <t>T/C정산</t>
  </si>
  <si>
    <t>합   계</t>
  </si>
  <si>
    <t>차액(밸런스)</t>
  </si>
  <si>
    <t>가이드정산</t>
  </si>
  <si>
    <t>회사수익</t>
  </si>
  <si>
    <t>회사총수익</t>
  </si>
  <si>
    <t>회사결재($)</t>
  </si>
  <si>
    <t>SGL/TWN</t>
  </si>
  <si>
    <t>추가차량비</t>
  </si>
  <si>
    <t>가이드지출금</t>
  </si>
  <si>
    <t>여행사명</t>
  </si>
  <si>
    <t>기사TIP ($)</t>
  </si>
  <si>
    <t>패      턴</t>
  </si>
  <si>
    <t>인      원</t>
  </si>
  <si>
    <t>차       량</t>
  </si>
  <si>
    <t>가이드결재($)</t>
  </si>
  <si>
    <t>보조TIP  ($)</t>
  </si>
  <si>
    <t>베트남가이드  ($)</t>
  </si>
  <si>
    <t>날짜</t>
  </si>
  <si>
    <t>N</t>
  </si>
  <si>
    <t>TWN</t>
  </si>
  <si>
    <t>구분</t>
  </si>
  <si>
    <t>SGL</t>
  </si>
  <si>
    <t>호 텔</t>
  </si>
  <si>
    <t>TRP</t>
  </si>
  <si>
    <t>계</t>
  </si>
  <si>
    <t>식 사</t>
  </si>
  <si>
    <t>식당명</t>
  </si>
  <si>
    <t>단가</t>
  </si>
  <si>
    <t>인원</t>
  </si>
  <si>
    <t>일수</t>
  </si>
  <si>
    <t>KB</t>
  </si>
  <si>
    <t>COM</t>
  </si>
  <si>
    <t>판매액</t>
  </si>
  <si>
    <t>투어피</t>
  </si>
  <si>
    <t>전도금</t>
  </si>
  <si>
    <t>호텔비</t>
  </si>
  <si>
    <t>차량비</t>
  </si>
  <si>
    <t>식사비</t>
  </si>
  <si>
    <t>인두세</t>
  </si>
  <si>
    <t>입장료</t>
  </si>
  <si>
    <t>받은팁</t>
  </si>
  <si>
    <t>팁</t>
  </si>
  <si>
    <t>합계</t>
  </si>
  <si>
    <t xml:space="preserve">정산 날짜  </t>
  </si>
  <si>
    <t>내    역</t>
    <phoneticPr fontId="2" type="noConversion"/>
  </si>
  <si>
    <t>날짜</t>
    <phoneticPr fontId="2" type="noConversion"/>
  </si>
  <si>
    <t>샵명</t>
    <phoneticPr fontId="2" type="noConversion"/>
  </si>
  <si>
    <t>추가수익</t>
    <phoneticPr fontId="2" type="noConversion"/>
  </si>
  <si>
    <t>모두 투어</t>
    <phoneticPr fontId="2" type="noConversion"/>
  </si>
  <si>
    <t>다낭(3N), 호이안</t>
    <phoneticPr fontId="2" type="noConversion"/>
  </si>
  <si>
    <t>옵션 외상 손님 이름, 연락처, 금액 기재</t>
    <phoneticPr fontId="2" type="noConversion"/>
  </si>
  <si>
    <t>차밍쇼판매/기타</t>
    <phoneticPr fontId="2" type="noConversion"/>
  </si>
  <si>
    <t>서울영업비</t>
  </si>
  <si>
    <t>금액(VND)</t>
  </si>
  <si>
    <t>금   액 ($)</t>
  </si>
  <si>
    <t>금  액 (VND)</t>
  </si>
  <si>
    <t>지출액($달러)</t>
  </si>
  <si>
    <t>가 이 드 이 름</t>
    <phoneticPr fontId="2" type="noConversion"/>
  </si>
  <si>
    <t>TC 이 름</t>
    <phoneticPr fontId="2" type="noConversion"/>
  </si>
  <si>
    <t>투 어 코 드</t>
    <phoneticPr fontId="2" type="noConversion"/>
  </si>
  <si>
    <r>
      <t>지출액(</t>
    </r>
    <r>
      <rPr>
        <b/>
        <sz val="20"/>
        <rFont val="맑은 고딕 Semilight"/>
        <family val="3"/>
        <charset val="129"/>
      </rPr>
      <t>₫</t>
    </r>
    <r>
      <rPr>
        <b/>
        <sz val="20"/>
        <rFont val="맑은 고딕"/>
        <family val="3"/>
        <charset val="129"/>
      </rPr>
      <t xml:space="preserve"> </t>
    </r>
    <r>
      <rPr>
        <b/>
        <sz val="10"/>
        <rFont val="맑은 고딕"/>
        <family val="3"/>
        <charset val="129"/>
      </rPr>
      <t>동)</t>
    </r>
  </si>
  <si>
    <t>가이드 일비</t>
    <phoneticPr fontId="2" type="noConversion"/>
  </si>
  <si>
    <t xml:space="preserve">                                가 이 드 정 산 서  [M투어 다낭]</t>
    <phoneticPr fontId="2" type="noConversion"/>
  </si>
  <si>
    <t>회사입금액</t>
    <phoneticPr fontId="2" type="noConversion"/>
  </si>
  <si>
    <t>메꾸기</t>
    <phoneticPr fontId="2" type="noConversion"/>
  </si>
  <si>
    <t>옵션외상/팁송금</t>
  </si>
  <si>
    <t>2025년</t>
    <phoneticPr fontId="2" type="noConversion"/>
  </si>
  <si>
    <t>예시) 12/1 홍길동 $430 / 636,400원</t>
    <phoneticPr fontId="2" type="noConversion"/>
  </si>
  <si>
    <t>코이</t>
  </si>
  <si>
    <t>투란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</si>
</sst>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&quot;$&quot;#,##0_);[Red]\(&quot;$&quot;#,##0\)"/>
    <numFmt numFmtId="177" formatCode="General&quot;인&quot;&quot;승&quot;"/>
    <numFmt numFmtId="178" formatCode="m&quot;/&quot;d;@"/>
    <numFmt numFmtId="179" formatCode="#,##0_ ;[Red]\-#,##0\ "/>
    <numFmt numFmtId="180" formatCode="_-[$$-409]* #,##0.0_ ;_-[$$-409]* \-#,##0.0\ ;_-[$$-409]* &quot;-&quot;?_ ;_-@_ "/>
    <numFmt numFmtId="181" formatCode="_-\$* #,##0_ ;_-\$* \-#,##0\ ;_-\$* &quot;-&quot;_ ;_-@_ "/>
    <numFmt numFmtId="182" formatCode="_-* #,##0\ [$₫-42A]_-;\-* #,##0\ [$₫-42A]_-;_-* &quot;-&quot;\ [$₫-42A]_-;_-@_-"/>
    <numFmt numFmtId="183" formatCode="_-* #,##0\ &quot;₫&quot;_-;\-* #,##0\ &quot;₫&quot;_-;_-* &quot;-&quot;\ &quot;₫&quot;_-;_-@_-"/>
    <numFmt numFmtId="184" formatCode="#,##0_ "/>
    <numFmt numFmtId="185" formatCode="General&quot;일&quot;"/>
    <numFmt numFmtId="186" formatCode="_-[$$-409]* #,##0_ ;_-[$$-409]* \-#,##0\ ;_-[$$-409]* &quot;-&quot;_ ;_-@_ "/>
    <numFmt numFmtId="187" formatCode="_-[$$-409]* #,##0_ ;_-[$$-409]* \-#,##0\ ;_-[$$-409]* &quot;-&quot;?_ ;_-@_ "/>
    <numFmt numFmtId="188" formatCode="0_);[Red]\(0\)"/>
    <numFmt numFmtId="189" formatCode="_-\$* #,##0_ ;_-\$* \-#,##0\ ;_-\$* &quot;-&quot;??_ ;_-@_ "/>
    <numFmt numFmtId="190" formatCode="\$#,##0;[Red]\-\$#,##0"/>
    <numFmt numFmtId="191" formatCode="#,##0\ [$₫-42A]_);[Red]\(#,##0\ [$₫-42A]\)"/>
    <numFmt numFmtId="192" formatCode="m&quot;월&quot;\ d&quot;일&quot;;@"/>
    <numFmt numFmtId="193" formatCode="_-[$$-409]* #,##0.00_ ;_-[$$-409]* \-#,##0.00\ ;_-[$$-409]* &quot;-&quot;??_ ;_-@_ "/>
    <numFmt numFmtId="194" formatCode="#,##0.0;[Red]\-#,##0.0"/>
    <numFmt numFmtId="195" formatCode="[$$-409]#,##0;[Red]\-[$$-409]#,##0"/>
    <numFmt numFmtId="196" formatCode="#,##0\ [$₫-42A]"/>
    <numFmt numFmtId="197" formatCode="[$$-409]#,##0"/>
    <numFmt numFmtId="198" formatCode="#&quot;월&quot;\ "/>
    <numFmt numFmtId="199" formatCode="&quot;환율&quot;\ ##,###"/>
  </numFmts>
  <fonts count="26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25"/>
      <name val="맑은 고딕"/>
      <family val="3"/>
      <charset val="129"/>
    </font>
    <font>
      <sz val="11"/>
      <name val="맑은 고딕"/>
      <family val="3"/>
      <charset val="129"/>
    </font>
    <font>
      <b/>
      <sz val="24"/>
      <name val="맑은 고딕"/>
      <family val="3"/>
      <charset val="129"/>
    </font>
    <font>
      <b/>
      <sz val="9"/>
      <name val="맑은 고딕"/>
      <family val="3"/>
      <charset val="129"/>
    </font>
    <font>
      <b/>
      <sz val="15"/>
      <name val="맑은 고딕"/>
      <family val="3"/>
      <charset val="129"/>
    </font>
    <font>
      <b/>
      <sz val="20"/>
      <name val="맑은 고딕"/>
      <family val="3"/>
      <charset val="129"/>
    </font>
    <font>
      <sz val="9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20"/>
      <name val="맑은 고딕 Semilight"/>
      <family val="3"/>
      <charset val="129"/>
    </font>
    <font>
      <b/>
      <sz val="10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30"/>
      <color rgb="FFFF0000"/>
      <name val="맑은 고딕"/>
      <family val="3"/>
      <charset val="129"/>
    </font>
    <font>
      <b/>
      <sz val="30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</fills>
  <borders count="176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double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double">
        <color rgb="FF000000"/>
      </top>
      <bottom/>
      <diagonal/>
    </border>
    <border>
      <left/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hair">
        <color rgb="FF000000"/>
      </bottom>
      <diagonal/>
    </border>
    <border>
      <left/>
      <right/>
      <top style="medium">
        <color indexed="64"/>
      </top>
      <bottom style="hair">
        <color rgb="FF000000"/>
      </bottom>
      <diagonal/>
    </border>
    <border>
      <left/>
      <right style="double">
        <color rgb="FF000000"/>
      </right>
      <top style="medium">
        <color indexed="64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double">
        <color rgb="FF000000"/>
      </top>
      <bottom style="medium">
        <color indexed="64"/>
      </bottom>
      <diagonal/>
    </border>
    <border>
      <left/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 style="double">
        <color rgb="FF000000"/>
      </left>
      <right/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double">
        <color rgb="FF000000"/>
      </top>
      <bottom style="medium">
        <color indexed="64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double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auto="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rgb="FF000000"/>
      </left>
      <right/>
      <top style="hair">
        <color rgb="FF000000"/>
      </top>
      <bottom style="hair">
        <color auto="1"/>
      </bottom>
      <diagonal/>
    </border>
    <border>
      <left/>
      <right style="thin">
        <color rgb="FF000000"/>
      </right>
      <top style="hair">
        <color rgb="FF000000"/>
      </top>
      <bottom style="hair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medium">
        <color indexed="64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</borders>
  <cellStyleXfs count="6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548">
    <xf numFmtId="0" fontId="0" fillId="0" borderId="0" xfId="0">
      <alignment vertical="center"/>
    </xf>
    <xf numFmtId="181" fontId="4" fillId="3" borderId="39" xfId="0" applyNumberFormat="1" applyFont="1" applyFill="1" applyBorder="1" applyProtection="1">
      <alignment vertical="center"/>
      <protection locked="0"/>
    </xf>
    <xf numFmtId="181" fontId="4" fillId="3" borderId="5" xfId="0" applyNumberFormat="1" applyFont="1" applyFill="1" applyBorder="1" applyProtection="1">
      <alignment vertical="center"/>
      <protection locked="0"/>
    </xf>
    <xf numFmtId="49" fontId="10" fillId="3" borderId="89" xfId="0" applyNumberFormat="1" applyFont="1" applyFill="1" applyBorder="1" applyAlignment="1" applyProtection="1">
      <alignment horizontal="center" vertical="center"/>
      <protection locked="0"/>
    </xf>
    <xf numFmtId="188" fontId="6" fillId="3" borderId="5" xfId="0" applyNumberFormat="1" applyFont="1" applyFill="1" applyBorder="1" applyAlignment="1" applyProtection="1">
      <alignment horizontal="center" vertical="center"/>
      <protection locked="0"/>
    </xf>
    <xf numFmtId="0" fontId="16" fillId="3" borderId="0" xfId="0" applyFont="1" applyFill="1">
      <alignment vertical="center"/>
    </xf>
    <xf numFmtId="0" fontId="16" fillId="3" borderId="0" xfId="0" applyFont="1" applyFill="1" applyProtection="1">
      <alignment vertical="center"/>
      <protection locked="0"/>
    </xf>
    <xf numFmtId="0" fontId="14" fillId="4" borderId="47" xfId="0" applyFont="1" applyFill="1" applyBorder="1">
      <alignment vertical="center"/>
    </xf>
    <xf numFmtId="0" fontId="6" fillId="4" borderId="0" xfId="0" applyFont="1" applyFill="1">
      <alignment vertical="center"/>
    </xf>
    <xf numFmtId="0" fontId="4" fillId="4" borderId="0" xfId="0" applyFont="1" applyFill="1" applyAlignment="1">
      <alignment horizontal="right" vertical="center"/>
    </xf>
    <xf numFmtId="0" fontId="5" fillId="3" borderId="0" xfId="0" applyFont="1" applyFill="1" applyAlignment="1">
      <alignment vertical="center" wrapText="1"/>
    </xf>
    <xf numFmtId="0" fontId="4" fillId="2" borderId="27" xfId="0" applyFont="1" applyFill="1" applyBorder="1" applyAlignment="1">
      <alignment horizontal="center" vertical="center"/>
    </xf>
    <xf numFmtId="24" fontId="5" fillId="3" borderId="0" xfId="0" applyNumberFormat="1" applyFont="1" applyFill="1" applyAlignment="1">
      <alignment vertical="center" wrapText="1"/>
    </xf>
    <xf numFmtId="0" fontId="4" fillId="3" borderId="0" xfId="0" applyFont="1" applyFill="1">
      <alignment vertical="center"/>
    </xf>
    <xf numFmtId="0" fontId="10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right" vertical="center"/>
    </xf>
    <xf numFmtId="0" fontId="7" fillId="4" borderId="0" xfId="0" applyFont="1" applyFill="1">
      <alignment vertical="center"/>
    </xf>
    <xf numFmtId="0" fontId="8" fillId="4" borderId="0" xfId="0" applyFont="1" applyFill="1" applyAlignment="1">
      <alignment horizontal="left" vertical="center"/>
    </xf>
    <xf numFmtId="0" fontId="8" fillId="4" borderId="0" xfId="0" applyFont="1" applyFill="1">
      <alignment vertical="center"/>
    </xf>
    <xf numFmtId="198" fontId="17" fillId="4" borderId="47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8" fillId="3" borderId="0" xfId="0" applyFont="1" applyFill="1">
      <alignment vertical="center"/>
    </xf>
    <xf numFmtId="0" fontId="4" fillId="4" borderId="0" xfId="0" applyFont="1" applyFill="1" applyAlignment="1">
      <alignment vertical="center" wrapText="1"/>
    </xf>
    <xf numFmtId="178" fontId="4" fillId="3" borderId="2" xfId="0" applyNumberFormat="1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>
      <alignment horizontal="center" vertical="center"/>
    </xf>
    <xf numFmtId="38" fontId="6" fillId="4" borderId="4" xfId="0" applyNumberFormat="1" applyFont="1" applyFill="1" applyBorder="1">
      <alignment vertical="center"/>
    </xf>
    <xf numFmtId="178" fontId="4" fillId="3" borderId="5" xfId="0" applyNumberFormat="1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>
      <alignment horizontal="center" vertical="center"/>
    </xf>
    <xf numFmtId="38" fontId="6" fillId="4" borderId="6" xfId="0" applyNumberFormat="1" applyFont="1" applyFill="1" applyBorder="1">
      <alignment vertical="center"/>
    </xf>
    <xf numFmtId="0" fontId="4" fillId="4" borderId="7" xfId="0" applyFont="1" applyFill="1" applyBorder="1" applyAlignment="1">
      <alignment horizontal="center" vertical="center"/>
    </xf>
    <xf numFmtId="38" fontId="6" fillId="4" borderId="1" xfId="0" applyNumberFormat="1" applyFont="1" applyFill="1" applyBorder="1">
      <alignment vertical="center"/>
    </xf>
    <xf numFmtId="181" fontId="4" fillId="4" borderId="4" xfId="2" applyNumberFormat="1" applyFont="1" applyFill="1" applyBorder="1">
      <alignment vertical="center"/>
    </xf>
    <xf numFmtId="178" fontId="4" fillId="4" borderId="11" xfId="0" applyNumberFormat="1" applyFont="1" applyFill="1" applyBorder="1" applyAlignment="1" applyProtection="1">
      <alignment horizontal="center" vertical="center"/>
      <protection locked="0"/>
    </xf>
    <xf numFmtId="194" fontId="6" fillId="4" borderId="3" xfId="0" applyNumberFormat="1" applyFont="1" applyFill="1" applyBorder="1" applyAlignment="1" applyProtection="1">
      <alignment horizontal="center" vertical="center"/>
      <protection locked="0"/>
    </xf>
    <xf numFmtId="194" fontId="6" fillId="4" borderId="13" xfId="0" applyNumberFormat="1" applyFont="1" applyFill="1" applyBorder="1" applyAlignment="1" applyProtection="1">
      <alignment horizontal="center" vertical="center"/>
      <protection locked="0"/>
    </xf>
    <xf numFmtId="178" fontId="4" fillId="4" borderId="5" xfId="0" applyNumberFormat="1" applyFont="1" applyFill="1" applyBorder="1" applyAlignment="1" applyProtection="1">
      <alignment horizontal="center" vertical="center"/>
      <protection locked="0"/>
    </xf>
    <xf numFmtId="194" fontId="6" fillId="4" borderId="5" xfId="0" applyNumberFormat="1" applyFont="1" applyFill="1" applyBorder="1" applyAlignment="1" applyProtection="1">
      <alignment horizontal="center" vertical="center"/>
      <protection locked="0"/>
    </xf>
    <xf numFmtId="194" fontId="6" fillId="4" borderId="15" xfId="0" applyNumberFormat="1" applyFont="1" applyFill="1" applyBorder="1" applyAlignment="1" applyProtection="1">
      <alignment horizontal="center" vertical="center"/>
      <protection locked="0"/>
    </xf>
    <xf numFmtId="194" fontId="6" fillId="4" borderId="15" xfId="2" applyNumberFormat="1" applyFont="1" applyFill="1" applyBorder="1" applyAlignment="1" applyProtection="1">
      <alignment horizontal="center" vertical="center"/>
      <protection locked="0"/>
    </xf>
    <xf numFmtId="178" fontId="4" fillId="4" borderId="16" xfId="0" applyNumberFormat="1" applyFont="1" applyFill="1" applyBorder="1" applyAlignment="1" applyProtection="1">
      <alignment horizontal="center" vertical="center"/>
      <protection locked="0"/>
    </xf>
    <xf numFmtId="194" fontId="6" fillId="4" borderId="37" xfId="0" applyNumberFormat="1" applyFont="1" applyFill="1" applyBorder="1" applyAlignment="1" applyProtection="1">
      <alignment horizontal="center" vertical="center"/>
      <protection locked="0"/>
    </xf>
    <xf numFmtId="194" fontId="6" fillId="4" borderId="18" xfId="2" applyNumberFormat="1" applyFont="1" applyFill="1" applyBorder="1" applyAlignment="1" applyProtection="1">
      <alignment horizontal="center" vertical="center"/>
      <protection locked="0"/>
    </xf>
    <xf numFmtId="184" fontId="6" fillId="4" borderId="15" xfId="0" applyNumberFormat="1" applyFont="1" applyFill="1" applyBorder="1" applyAlignment="1" applyProtection="1">
      <alignment horizontal="center" vertical="center"/>
      <protection locked="0"/>
    </xf>
    <xf numFmtId="184" fontId="6" fillId="4" borderId="3" xfId="0" applyNumberFormat="1" applyFont="1" applyFill="1" applyBorder="1" applyAlignment="1" applyProtection="1">
      <alignment horizontal="center" vertical="center"/>
      <protection locked="0"/>
    </xf>
    <xf numFmtId="184" fontId="6" fillId="4" borderId="5" xfId="0" applyNumberFormat="1" applyFont="1" applyFill="1" applyBorder="1" applyAlignment="1" applyProtection="1">
      <alignment horizontal="center" vertical="center"/>
      <protection locked="0"/>
    </xf>
    <xf numFmtId="178" fontId="4" fillId="4" borderId="16" xfId="0" applyNumberFormat="1" applyFont="1" applyFill="1" applyBorder="1" applyProtection="1">
      <alignment vertical="center"/>
      <protection locked="0"/>
    </xf>
    <xf numFmtId="184" fontId="6" fillId="4" borderId="7" xfId="0" applyNumberFormat="1" applyFont="1" applyFill="1" applyBorder="1" applyAlignment="1" applyProtection="1">
      <alignment horizontal="center" vertical="center"/>
      <protection locked="0"/>
    </xf>
    <xf numFmtId="185" fontId="6" fillId="4" borderId="3" xfId="0" applyNumberFormat="1" applyFont="1" applyFill="1" applyBorder="1" applyAlignment="1" applyProtection="1">
      <alignment horizontal="center" vertical="center"/>
      <protection locked="0"/>
    </xf>
    <xf numFmtId="184" fontId="6" fillId="4" borderId="13" xfId="0" applyNumberFormat="1" applyFont="1" applyFill="1" applyBorder="1" applyAlignment="1" applyProtection="1">
      <alignment horizontal="center" vertical="center"/>
      <protection locked="0"/>
    </xf>
    <xf numFmtId="184" fontId="6" fillId="4" borderId="13" xfId="5" applyNumberFormat="1" applyFont="1" applyFill="1" applyBorder="1" applyAlignment="1" applyProtection="1">
      <alignment horizontal="center" vertical="center"/>
      <protection locked="0"/>
    </xf>
    <xf numFmtId="185" fontId="6" fillId="4" borderId="5" xfId="0" applyNumberFormat="1" applyFont="1" applyFill="1" applyBorder="1" applyAlignment="1" applyProtection="1">
      <alignment horizontal="center" vertical="center"/>
      <protection locked="0"/>
    </xf>
    <xf numFmtId="184" fontId="6" fillId="4" borderId="15" xfId="5" applyNumberFormat="1" applyFont="1" applyFill="1" applyBorder="1" applyAlignment="1" applyProtection="1">
      <alignment horizontal="center" vertical="center"/>
      <protection locked="0"/>
    </xf>
    <xf numFmtId="0" fontId="6" fillId="4" borderId="103" xfId="0" applyFont="1" applyFill="1" applyBorder="1">
      <alignment vertical="center"/>
    </xf>
    <xf numFmtId="185" fontId="6" fillId="4" borderId="20" xfId="0" applyNumberFormat="1" applyFont="1" applyFill="1" applyBorder="1" applyAlignment="1" applyProtection="1">
      <alignment horizontal="center" vertical="center"/>
      <protection locked="0"/>
    </xf>
    <xf numFmtId="184" fontId="6" fillId="4" borderId="38" xfId="0" applyNumberFormat="1" applyFont="1" applyFill="1" applyBorder="1" applyAlignment="1" applyProtection="1">
      <alignment horizontal="center" vertical="center"/>
      <protection locked="0"/>
    </xf>
    <xf numFmtId="184" fontId="6" fillId="4" borderId="5" xfId="5" applyNumberFormat="1" applyFont="1" applyFill="1" applyBorder="1" applyAlignment="1" applyProtection="1">
      <alignment horizontal="center" vertical="center"/>
      <protection locked="0"/>
    </xf>
    <xf numFmtId="184" fontId="6" fillId="4" borderId="37" xfId="0" applyNumberFormat="1" applyFont="1" applyFill="1" applyBorder="1" applyAlignment="1" applyProtection="1">
      <alignment horizontal="center" vertical="center"/>
      <protection locked="0"/>
    </xf>
    <xf numFmtId="184" fontId="6" fillId="4" borderId="21" xfId="0" applyNumberFormat="1" applyFont="1" applyFill="1" applyBorder="1" applyAlignment="1" applyProtection="1">
      <alignment horizontal="center" vertical="center"/>
      <protection locked="0"/>
    </xf>
    <xf numFmtId="188" fontId="4" fillId="4" borderId="5" xfId="0" applyNumberFormat="1" applyFont="1" applyFill="1" applyBorder="1" applyAlignment="1" applyProtection="1">
      <alignment horizontal="center" vertical="center"/>
      <protection locked="0"/>
    </xf>
    <xf numFmtId="188" fontId="4" fillId="4" borderId="7" xfId="0" applyNumberFormat="1" applyFont="1" applyFill="1" applyBorder="1" applyAlignment="1" applyProtection="1">
      <alignment horizontal="center" vertical="center"/>
      <protection locked="0"/>
    </xf>
    <xf numFmtId="184" fontId="6" fillId="4" borderId="22" xfId="5" applyNumberFormat="1" applyFont="1" applyFill="1" applyBorder="1" applyAlignment="1" applyProtection="1">
      <alignment horizontal="center" vertical="center"/>
      <protection locked="0"/>
    </xf>
    <xf numFmtId="183" fontId="4" fillId="3" borderId="32" xfId="2" applyNumberFormat="1" applyFont="1" applyFill="1" applyBorder="1">
      <alignment vertical="center"/>
    </xf>
    <xf numFmtId="183" fontId="4" fillId="3" borderId="33" xfId="2" applyNumberFormat="1" applyFont="1" applyFill="1" applyBorder="1">
      <alignment vertical="center"/>
    </xf>
    <xf numFmtId="49" fontId="10" fillId="3" borderId="3" xfId="0" applyNumberFormat="1" applyFont="1" applyFill="1" applyBorder="1" applyAlignment="1" applyProtection="1">
      <alignment horizontal="center" vertical="center"/>
      <protection locked="0"/>
    </xf>
    <xf numFmtId="181" fontId="4" fillId="3" borderId="13" xfId="0" applyNumberFormat="1" applyFont="1" applyFill="1" applyBorder="1" applyProtection="1">
      <alignment vertical="center"/>
      <protection locked="0"/>
    </xf>
    <xf numFmtId="49" fontId="10" fillId="4" borderId="168" xfId="0" applyNumberFormat="1" applyFont="1" applyFill="1" applyBorder="1" applyAlignment="1" applyProtection="1">
      <alignment horizontal="center" vertical="center"/>
      <protection locked="0"/>
    </xf>
    <xf numFmtId="181" fontId="6" fillId="4" borderId="39" xfId="0" applyNumberFormat="1" applyFont="1" applyFill="1" applyBorder="1" applyProtection="1">
      <alignment vertical="center"/>
      <protection locked="0"/>
    </xf>
    <xf numFmtId="188" fontId="6" fillId="4" borderId="39" xfId="0" applyNumberFormat="1" applyFont="1" applyFill="1" applyBorder="1" applyAlignment="1" applyProtection="1">
      <alignment horizontal="center" vertical="center"/>
      <protection locked="0"/>
    </xf>
    <xf numFmtId="181" fontId="4" fillId="4" borderId="5" xfId="0" applyNumberFormat="1" applyFont="1" applyFill="1" applyBorder="1">
      <alignment vertical="center"/>
    </xf>
    <xf numFmtId="189" fontId="4" fillId="4" borderId="152" xfId="0" applyNumberFormat="1" applyFont="1" applyFill="1" applyBorder="1" applyAlignment="1">
      <alignment horizontal="right" vertical="center"/>
    </xf>
    <xf numFmtId="49" fontId="10" fillId="3" borderId="5" xfId="0" applyNumberFormat="1" applyFont="1" applyFill="1" applyBorder="1" applyAlignment="1" applyProtection="1">
      <alignment horizontal="center" vertical="center"/>
      <protection locked="0"/>
    </xf>
    <xf numFmtId="181" fontId="4" fillId="3" borderId="15" xfId="0" applyNumberFormat="1" applyFont="1" applyFill="1" applyBorder="1" applyProtection="1">
      <alignment vertical="center"/>
      <protection locked="0"/>
    </xf>
    <xf numFmtId="49" fontId="10" fillId="4" borderId="89" xfId="0" applyNumberFormat="1" applyFont="1" applyFill="1" applyBorder="1" applyAlignment="1" applyProtection="1">
      <alignment horizontal="center" vertical="center"/>
      <protection locked="0"/>
    </xf>
    <xf numFmtId="181" fontId="6" fillId="4" borderId="5" xfId="0" applyNumberFormat="1" applyFont="1" applyFill="1" applyBorder="1" applyProtection="1">
      <alignment vertical="center"/>
      <protection locked="0"/>
    </xf>
    <xf numFmtId="188" fontId="6" fillId="4" borderId="5" xfId="0" applyNumberFormat="1" applyFont="1" applyFill="1" applyBorder="1" applyAlignment="1" applyProtection="1">
      <alignment horizontal="center" vertical="center"/>
      <protection locked="0"/>
    </xf>
    <xf numFmtId="49" fontId="10" fillId="3" borderId="7" xfId="0" applyNumberFormat="1" applyFont="1" applyFill="1" applyBorder="1" applyAlignment="1">
      <alignment horizontal="center" vertical="center"/>
    </xf>
    <xf numFmtId="181" fontId="4" fillId="3" borderId="22" xfId="0" applyNumberFormat="1" applyFont="1" applyFill="1" applyBorder="1">
      <alignment vertical="center"/>
    </xf>
    <xf numFmtId="181" fontId="4" fillId="3" borderId="16" xfId="0" applyNumberFormat="1" applyFont="1" applyFill="1" applyBorder="1">
      <alignment vertical="center"/>
    </xf>
    <xf numFmtId="188" fontId="6" fillId="3" borderId="16" xfId="0" applyNumberFormat="1" applyFont="1" applyFill="1" applyBorder="1" applyAlignment="1">
      <alignment horizontal="center" vertical="center"/>
    </xf>
    <xf numFmtId="181" fontId="4" fillId="3" borderId="16" xfId="0" applyNumberFormat="1" applyFont="1" applyFill="1" applyBorder="1" applyProtection="1">
      <alignment vertical="center"/>
      <protection locked="0"/>
    </xf>
    <xf numFmtId="189" fontId="4" fillId="3" borderId="143" xfId="0" applyNumberFormat="1" applyFont="1" applyFill="1" applyBorder="1" applyAlignment="1">
      <alignment horizontal="right" vertical="center"/>
    </xf>
    <xf numFmtId="181" fontId="4" fillId="3" borderId="148" xfId="0" applyNumberFormat="1" applyFont="1" applyFill="1" applyBorder="1">
      <alignment vertical="center"/>
    </xf>
    <xf numFmtId="181" fontId="4" fillId="3" borderId="145" xfId="0" applyNumberFormat="1" applyFont="1" applyFill="1" applyBorder="1" applyAlignment="1">
      <alignment horizontal="center" vertical="center"/>
    </xf>
    <xf numFmtId="181" fontId="4" fillId="3" borderId="145" xfId="0" applyNumberFormat="1" applyFont="1" applyFill="1" applyBorder="1">
      <alignment vertical="center"/>
    </xf>
    <xf numFmtId="181" fontId="4" fillId="3" borderId="148" xfId="0" applyNumberFormat="1" applyFont="1" applyFill="1" applyBorder="1" applyAlignment="1">
      <alignment horizontal="center" vertical="center"/>
    </xf>
    <xf numFmtId="189" fontId="4" fillId="3" borderId="149" xfId="0" applyNumberFormat="1" applyFont="1" applyFill="1" applyBorder="1" applyAlignment="1">
      <alignment horizontal="right" vertical="center"/>
    </xf>
    <xf numFmtId="181" fontId="6" fillId="4" borderId="0" xfId="0" applyNumberFormat="1" applyFont="1" applyFill="1">
      <alignment vertical="center"/>
    </xf>
    <xf numFmtId="190" fontId="4" fillId="4" borderId="36" xfId="0" applyNumberFormat="1" applyFont="1" applyFill="1" applyBorder="1" applyAlignment="1" applyProtection="1">
      <alignment horizontal="center" vertical="center"/>
      <protection locked="0"/>
    </xf>
    <xf numFmtId="190" fontId="4" fillId="4" borderId="34" xfId="0" applyNumberFormat="1" applyFont="1" applyFill="1" applyBorder="1" applyAlignment="1">
      <alignment horizontal="center" vertical="center"/>
    </xf>
    <xf numFmtId="0" fontId="6" fillId="4" borderId="41" xfId="0" applyFont="1" applyFill="1" applyBorder="1">
      <alignment vertical="center"/>
    </xf>
    <xf numFmtId="181" fontId="4" fillId="3" borderId="28" xfId="0" applyNumberFormat="1" applyFont="1" applyFill="1" applyBorder="1">
      <alignment vertical="center"/>
    </xf>
    <xf numFmtId="181" fontId="4" fillId="3" borderId="29" xfId="0" applyNumberFormat="1" applyFont="1" applyFill="1" applyBorder="1">
      <alignment vertical="center"/>
    </xf>
    <xf numFmtId="0" fontId="4" fillId="4" borderId="0" xfId="0" applyFont="1" applyFill="1" applyAlignment="1" applyProtection="1">
      <alignment horizontal="left" vertical="center" indent="1"/>
      <protection locked="0"/>
    </xf>
    <xf numFmtId="181" fontId="4" fillId="3" borderId="30" xfId="0" applyNumberFormat="1" applyFont="1" applyFill="1" applyBorder="1">
      <alignment vertical="center"/>
    </xf>
    <xf numFmtId="181" fontId="4" fillId="3" borderId="31" xfId="0" applyNumberFormat="1" applyFont="1" applyFill="1" applyBorder="1">
      <alignment vertical="center"/>
    </xf>
    <xf numFmtId="0" fontId="5" fillId="4" borderId="40" xfId="0" applyFont="1" applyFill="1" applyBorder="1">
      <alignment vertical="center"/>
    </xf>
    <xf numFmtId="190" fontId="4" fillId="4" borderId="0" xfId="0" applyNumberFormat="1" applyFont="1" applyFill="1">
      <alignment vertical="center"/>
    </xf>
    <xf numFmtId="0" fontId="5" fillId="4" borderId="0" xfId="0" applyFont="1" applyFill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9" fontId="4" fillId="2" borderId="141" xfId="3" applyFont="1" applyFill="1" applyBorder="1" applyAlignment="1">
      <alignment horizontal="center" vertical="center"/>
    </xf>
    <xf numFmtId="181" fontId="10" fillId="2" borderId="23" xfId="0" applyNumberFormat="1" applyFont="1" applyFill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181" fontId="10" fillId="2" borderId="169" xfId="0" applyNumberFormat="1" applyFont="1" applyFill="1" applyBorder="1" applyAlignment="1">
      <alignment horizontal="center" vertical="center"/>
    </xf>
    <xf numFmtId="181" fontId="4" fillId="2" borderId="151" xfId="0" applyNumberFormat="1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84" fontId="25" fillId="4" borderId="15" xfId="0" applyNumberFormat="1" applyFont="1" applyFill="1" applyBorder="1" applyAlignment="1" applyProtection="1">
      <alignment horizontal="center" vertical="center"/>
      <protection locked="0"/>
    </xf>
    <xf numFmtId="181" fontId="4" fillId="4" borderId="92" xfId="0" applyNumberFormat="1" applyFont="1" applyFill="1" applyBorder="1" applyAlignment="1" applyProtection="1">
      <alignment horizontal="center" vertical="center"/>
      <protection locked="0"/>
    </xf>
    <xf numFmtId="181" fontId="4" fillId="4" borderId="15" xfId="0" applyNumberFormat="1" applyFont="1" applyFill="1" applyBorder="1" applyAlignment="1" applyProtection="1">
      <alignment horizontal="center" vertical="center"/>
      <protection locked="0"/>
    </xf>
    <xf numFmtId="0" fontId="21" fillId="4" borderId="103" xfId="0" applyFont="1" applyFill="1" applyBorder="1" applyAlignment="1">
      <alignment horizontal="left" vertical="center"/>
    </xf>
    <xf numFmtId="0" fontId="21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182" fontId="13" fillId="4" borderId="174" xfId="0" applyNumberFormat="1" applyFont="1" applyFill="1" applyBorder="1">
      <alignment vertical="center"/>
    </xf>
    <xf numFmtId="0" fontId="13" fillId="4" borderId="174" xfId="0" applyFont="1" applyFill="1" applyBorder="1">
      <alignment vertical="center"/>
    </xf>
    <xf numFmtId="197" fontId="4" fillId="4" borderId="41" xfId="0" applyNumberFormat="1" applyFont="1" applyFill="1" applyBorder="1" applyAlignment="1">
      <alignment horizontal="center" vertical="center"/>
    </xf>
    <xf numFmtId="0" fontId="4" fillId="3" borderId="128" xfId="0" applyFont="1" applyFill="1" applyBorder="1" applyAlignment="1" applyProtection="1">
      <alignment horizontal="center" vertical="center"/>
      <protection locked="0"/>
    </xf>
    <xf numFmtId="0" fontId="4" fillId="3" borderId="131" xfId="0" applyFont="1" applyFill="1" applyBorder="1" applyAlignment="1" applyProtection="1">
      <alignment horizontal="center" vertical="center"/>
      <protection locked="0"/>
    </xf>
    <xf numFmtId="179" fontId="4" fillId="4" borderId="165" xfId="0" applyNumberFormat="1" applyFont="1" applyFill="1" applyBorder="1" applyAlignment="1">
      <alignment horizontal="right" vertical="center"/>
    </xf>
    <xf numFmtId="179" fontId="4" fillId="4" borderId="111" xfId="0" applyNumberFormat="1" applyFont="1" applyFill="1" applyBorder="1" applyAlignment="1">
      <alignment horizontal="right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176" fontId="6" fillId="4" borderId="24" xfId="0" applyNumberFormat="1" applyFont="1" applyFill="1" applyBorder="1" applyAlignment="1">
      <alignment horizontal="right" vertical="center"/>
    </xf>
    <xf numFmtId="176" fontId="6" fillId="4" borderId="87" xfId="0" applyNumberFormat="1" applyFont="1" applyFill="1" applyBorder="1" applyAlignment="1">
      <alignment horizontal="right" vertical="center"/>
    </xf>
    <xf numFmtId="180" fontId="4" fillId="4" borderId="12" xfId="0" applyNumberFormat="1" applyFont="1" applyFill="1" applyBorder="1" applyAlignment="1" applyProtection="1">
      <alignment horizontal="center" vertical="center"/>
      <protection locked="0"/>
    </xf>
    <xf numFmtId="180" fontId="4" fillId="4" borderId="69" xfId="0" applyNumberFormat="1" applyFont="1" applyFill="1" applyBorder="1" applyAlignment="1" applyProtection="1">
      <alignment horizontal="center" vertical="center"/>
      <protection locked="0"/>
    </xf>
    <xf numFmtId="180" fontId="4" fillId="4" borderId="13" xfId="0" applyNumberFormat="1" applyFont="1" applyFill="1" applyBorder="1" applyAlignment="1" applyProtection="1">
      <alignment horizontal="center" vertical="center"/>
      <protection locked="0"/>
    </xf>
    <xf numFmtId="180" fontId="4" fillId="4" borderId="14" xfId="0" applyNumberFormat="1" applyFont="1" applyFill="1" applyBorder="1" applyAlignment="1" applyProtection="1">
      <alignment horizontal="center" vertical="center"/>
      <protection locked="0"/>
    </xf>
    <xf numFmtId="180" fontId="4" fillId="4" borderId="92" xfId="0" applyNumberFormat="1" applyFont="1" applyFill="1" applyBorder="1" applyAlignment="1" applyProtection="1">
      <alignment horizontal="center" vertical="center"/>
      <protection locked="0"/>
    </xf>
    <xf numFmtId="180" fontId="4" fillId="4" borderId="15" xfId="0" applyNumberFormat="1" applyFont="1" applyFill="1" applyBorder="1" applyAlignment="1" applyProtection="1">
      <alignment horizontal="center" vertical="center"/>
      <protection locked="0"/>
    </xf>
    <xf numFmtId="180" fontId="4" fillId="4" borderId="172" xfId="0" applyNumberFormat="1" applyFont="1" applyFill="1" applyBorder="1" applyAlignment="1" applyProtection="1">
      <alignment horizontal="center" vertical="center"/>
      <protection locked="0"/>
    </xf>
    <xf numFmtId="180" fontId="4" fillId="4" borderId="166" xfId="0" applyNumberFormat="1" applyFont="1" applyFill="1" applyBorder="1" applyAlignment="1" applyProtection="1">
      <alignment horizontal="center" vertical="center"/>
      <protection locked="0"/>
    </xf>
    <xf numFmtId="180" fontId="4" fillId="4" borderId="90" xfId="0" applyNumberFormat="1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91" fontId="6" fillId="4" borderId="25" xfId="2" applyNumberFormat="1" applyFont="1" applyFill="1" applyBorder="1" applyAlignment="1" applyProtection="1">
      <alignment horizontal="center" vertical="center"/>
      <protection locked="0"/>
    </xf>
    <xf numFmtId="191" fontId="6" fillId="4" borderId="15" xfId="2" applyNumberFormat="1" applyFont="1" applyFill="1" applyBorder="1" applyAlignment="1" applyProtection="1">
      <alignment horizontal="center" vertical="center"/>
      <protection locked="0"/>
    </xf>
    <xf numFmtId="183" fontId="4" fillId="4" borderId="25" xfId="2" applyNumberFormat="1" applyFont="1" applyFill="1" applyBorder="1" applyAlignment="1">
      <alignment horizontal="center" vertical="center"/>
    </xf>
    <xf numFmtId="183" fontId="4" fillId="4" borderId="93" xfId="2" applyNumberFormat="1" applyFont="1" applyFill="1" applyBorder="1" applyAlignment="1">
      <alignment horizontal="center" vertical="center"/>
    </xf>
    <xf numFmtId="0" fontId="4" fillId="2" borderId="97" xfId="0" applyFont="1" applyFill="1" applyBorder="1" applyAlignment="1">
      <alignment horizontal="center" vertical="center"/>
    </xf>
    <xf numFmtId="180" fontId="4" fillId="4" borderId="25" xfId="0" applyNumberFormat="1" applyFont="1" applyFill="1" applyBorder="1" applyAlignment="1" applyProtection="1">
      <alignment horizontal="center" vertical="center"/>
      <protection locked="0"/>
    </xf>
    <xf numFmtId="183" fontId="4" fillId="4" borderId="24" xfId="2" applyNumberFormat="1" applyFont="1" applyFill="1" applyBorder="1" applyAlignment="1">
      <alignment horizontal="center" vertical="center"/>
    </xf>
    <xf numFmtId="183" fontId="4" fillId="4" borderId="87" xfId="2" applyNumberFormat="1" applyFont="1" applyFill="1" applyBorder="1" applyAlignment="1">
      <alignment horizontal="center" vertical="center"/>
    </xf>
    <xf numFmtId="181" fontId="4" fillId="3" borderId="145" xfId="0" applyNumberFormat="1" applyFont="1" applyFill="1" applyBorder="1" applyAlignment="1">
      <alignment horizontal="center" vertical="center"/>
    </xf>
    <xf numFmtId="181" fontId="4" fillId="3" borderId="146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88" fontId="4" fillId="3" borderId="0" xfId="0" applyNumberFormat="1" applyFont="1" applyFill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3" fillId="3" borderId="142" xfId="0" applyFont="1" applyFill="1" applyBorder="1" applyAlignment="1" applyProtection="1">
      <alignment horizontal="left" vertical="center" wrapText="1"/>
      <protection locked="0"/>
    </xf>
    <xf numFmtId="0" fontId="23" fillId="3" borderId="0" xfId="0" applyFont="1" applyFill="1" applyAlignment="1" applyProtection="1">
      <alignment horizontal="left" vertical="center" wrapText="1"/>
      <protection locked="0"/>
    </xf>
    <xf numFmtId="0" fontId="23" fillId="3" borderId="158" xfId="0" applyFont="1" applyFill="1" applyBorder="1" applyAlignment="1" applyProtection="1">
      <alignment horizontal="left" vertical="center" wrapText="1"/>
      <protection locked="0"/>
    </xf>
    <xf numFmtId="0" fontId="23" fillId="3" borderId="144" xfId="0" applyFont="1" applyFill="1" applyBorder="1" applyAlignment="1" applyProtection="1">
      <alignment horizontal="left" vertical="center" wrapText="1"/>
      <protection locked="0"/>
    </xf>
    <xf numFmtId="0" fontId="23" fillId="3" borderId="159" xfId="0" applyFont="1" applyFill="1" applyBorder="1" applyAlignment="1" applyProtection="1">
      <alignment horizontal="left" vertical="center" wrapText="1"/>
      <protection locked="0"/>
    </xf>
    <xf numFmtId="0" fontId="23" fillId="3" borderId="160" xfId="0" applyFont="1" applyFill="1" applyBorder="1" applyAlignment="1" applyProtection="1">
      <alignment horizontal="left" vertical="center" wrapText="1"/>
      <protection locked="0"/>
    </xf>
    <xf numFmtId="181" fontId="11" fillId="7" borderId="175" xfId="0" applyNumberFormat="1" applyFont="1" applyFill="1" applyBorder="1" applyAlignment="1">
      <alignment horizontal="center" vertical="center"/>
    </xf>
    <xf numFmtId="181" fontId="11" fillId="7" borderId="170" xfId="0" applyNumberFormat="1" applyFont="1" applyFill="1" applyBorder="1" applyAlignment="1">
      <alignment horizontal="center" vertical="center"/>
    </xf>
    <xf numFmtId="181" fontId="11" fillId="7" borderId="171" xfId="0" applyNumberFormat="1" applyFont="1" applyFill="1" applyBorder="1" applyAlignment="1">
      <alignment horizontal="center" vertical="center"/>
    </xf>
    <xf numFmtId="196" fontId="10" fillId="4" borderId="0" xfId="0" applyNumberFormat="1" applyFont="1" applyFill="1" applyAlignment="1">
      <alignment horizontal="right" vertical="top"/>
    </xf>
    <xf numFmtId="0" fontId="6" fillId="4" borderId="0" xfId="0" applyFont="1" applyFill="1" applyAlignment="1">
      <alignment horizontal="center" vertical="center"/>
    </xf>
    <xf numFmtId="0" fontId="4" fillId="3" borderId="159" xfId="0" applyFont="1" applyFill="1" applyBorder="1" applyAlignment="1">
      <alignment horizontal="left" vertical="center"/>
    </xf>
    <xf numFmtId="181" fontId="4" fillId="3" borderId="23" xfId="0" applyNumberFormat="1" applyFont="1" applyFill="1" applyBorder="1" applyAlignment="1">
      <alignment horizontal="center" vertical="center"/>
    </xf>
    <xf numFmtId="181" fontId="4" fillId="3" borderId="70" xfId="0" applyNumberFormat="1" applyFont="1" applyFill="1" applyBorder="1" applyAlignment="1">
      <alignment horizontal="center" vertical="center"/>
    </xf>
    <xf numFmtId="181" fontId="4" fillId="3" borderId="64" xfId="0" applyNumberFormat="1" applyFont="1" applyFill="1" applyBorder="1" applyAlignment="1">
      <alignment horizontal="center" vertical="center"/>
    </xf>
    <xf numFmtId="181" fontId="4" fillId="3" borderId="65" xfId="0" applyNumberFormat="1" applyFont="1" applyFill="1" applyBorder="1" applyAlignment="1">
      <alignment horizontal="center" vertical="center"/>
    </xf>
    <xf numFmtId="181" fontId="4" fillId="8" borderId="17" xfId="0" applyNumberFormat="1" applyFont="1" applyFill="1" applyBorder="1" applyAlignment="1">
      <alignment horizontal="center" vertical="center"/>
    </xf>
    <xf numFmtId="181" fontId="4" fillId="8" borderId="22" xfId="0" applyNumberFormat="1" applyFont="1" applyFill="1" applyBorder="1" applyAlignment="1">
      <alignment horizontal="center" vertical="center"/>
    </xf>
    <xf numFmtId="181" fontId="4" fillId="3" borderId="63" xfId="0" applyNumberFormat="1" applyFont="1" applyFill="1" applyBorder="1" applyAlignment="1" applyProtection="1">
      <alignment horizontal="center" vertical="center"/>
      <protection locked="0"/>
    </xf>
    <xf numFmtId="181" fontId="4" fillId="3" borderId="63" xfId="0" applyNumberFormat="1" applyFont="1" applyFill="1" applyBorder="1" applyAlignment="1">
      <alignment horizontal="center" vertical="center"/>
    </xf>
    <xf numFmtId="181" fontId="4" fillId="3" borderId="90" xfId="0" applyNumberFormat="1" applyFont="1" applyFill="1" applyBorder="1" applyAlignment="1">
      <alignment horizontal="center" vertical="center"/>
    </xf>
    <xf numFmtId="181" fontId="4" fillId="3" borderId="92" xfId="0" applyNumberFormat="1" applyFont="1" applyFill="1" applyBorder="1" applyAlignment="1">
      <alignment horizontal="center" vertical="center"/>
    </xf>
    <xf numFmtId="181" fontId="4" fillId="3" borderId="14" xfId="0" applyNumberFormat="1" applyFont="1" applyFill="1" applyBorder="1" applyAlignment="1">
      <alignment horizontal="center" vertical="center"/>
    </xf>
    <xf numFmtId="181" fontId="4" fillId="3" borderId="15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92" fontId="5" fillId="4" borderId="0" xfId="0" applyNumberFormat="1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 wrapText="1"/>
    </xf>
    <xf numFmtId="181" fontId="10" fillId="3" borderId="12" xfId="0" applyNumberFormat="1" applyFont="1" applyFill="1" applyBorder="1" applyAlignment="1">
      <alignment horizontal="center" vertical="center"/>
    </xf>
    <xf numFmtId="181" fontId="10" fillId="3" borderId="13" xfId="0" applyNumberFormat="1" applyFont="1" applyFill="1" applyBorder="1" applyAlignment="1">
      <alignment horizontal="center" vertical="center"/>
    </xf>
    <xf numFmtId="181" fontId="4" fillId="3" borderId="24" xfId="0" applyNumberFormat="1" applyFont="1" applyFill="1" applyBorder="1" applyAlignment="1">
      <alignment horizontal="center" vertical="center"/>
    </xf>
    <xf numFmtId="181" fontId="4" fillId="3" borderId="87" xfId="0" applyNumberFormat="1" applyFont="1" applyFill="1" applyBorder="1" applyAlignment="1">
      <alignment horizontal="center" vertical="center"/>
    </xf>
    <xf numFmtId="181" fontId="4" fillId="3" borderId="17" xfId="0" applyNumberFormat="1" applyFont="1" applyFill="1" applyBorder="1" applyAlignment="1">
      <alignment horizontal="center" vertical="center"/>
    </xf>
    <xf numFmtId="181" fontId="4" fillId="3" borderId="22" xfId="0" applyNumberFormat="1" applyFont="1" applyFill="1" applyBorder="1" applyAlignment="1">
      <alignment horizontal="center" vertical="center"/>
    </xf>
    <xf numFmtId="182" fontId="6" fillId="4" borderId="89" xfId="0" applyNumberFormat="1" applyFont="1" applyFill="1" applyBorder="1" applyAlignment="1" applyProtection="1">
      <alignment horizontal="center" vertical="center"/>
      <protection locked="0"/>
    </xf>
    <xf numFmtId="182" fontId="6" fillId="4" borderId="173" xfId="0" applyNumberFormat="1" applyFont="1" applyFill="1" applyBorder="1" applyAlignment="1" applyProtection="1">
      <alignment horizontal="center" vertical="center"/>
      <protection locked="0"/>
    </xf>
    <xf numFmtId="181" fontId="4" fillId="3" borderId="88" xfId="0" applyNumberFormat="1" applyFont="1" applyFill="1" applyBorder="1" applyAlignment="1">
      <alignment horizontal="center" vertical="center"/>
    </xf>
    <xf numFmtId="190" fontId="4" fillId="10" borderId="100" xfId="0" applyNumberFormat="1" applyFont="1" applyFill="1" applyBorder="1" applyAlignment="1">
      <alignment horizontal="right" vertical="center"/>
    </xf>
    <xf numFmtId="190" fontId="4" fillId="10" borderId="101" xfId="0" applyNumberFormat="1" applyFont="1" applyFill="1" applyBorder="1" applyAlignment="1">
      <alignment horizontal="right" vertical="center"/>
    </xf>
    <xf numFmtId="0" fontId="4" fillId="9" borderId="49" xfId="0" applyFont="1" applyFill="1" applyBorder="1" applyAlignment="1">
      <alignment horizontal="center" vertical="center"/>
    </xf>
    <xf numFmtId="0" fontId="4" fillId="9" borderId="99" xfId="0" applyFont="1" applyFill="1" applyBorder="1" applyAlignment="1">
      <alignment horizontal="center" vertical="center"/>
    </xf>
    <xf numFmtId="190" fontId="4" fillId="4" borderId="32" xfId="0" applyNumberFormat="1" applyFont="1" applyFill="1" applyBorder="1" applyAlignment="1">
      <alignment horizontal="right" vertical="center"/>
    </xf>
    <xf numFmtId="190" fontId="4" fillId="4" borderId="78" xfId="0" applyNumberFormat="1" applyFont="1" applyFill="1" applyBorder="1" applyAlignment="1">
      <alignment horizontal="right" vertical="center"/>
    </xf>
    <xf numFmtId="0" fontId="10" fillId="4" borderId="79" xfId="0" applyFont="1" applyFill="1" applyBorder="1" applyAlignment="1">
      <alignment horizontal="center" vertical="center"/>
    </xf>
    <xf numFmtId="0" fontId="10" fillId="4" borderId="80" xfId="0" applyFont="1" applyFill="1" applyBorder="1" applyAlignment="1">
      <alignment horizontal="center" vertical="center"/>
    </xf>
    <xf numFmtId="190" fontId="4" fillId="4" borderId="81" xfId="0" applyNumberFormat="1" applyFont="1" applyFill="1" applyBorder="1" applyAlignment="1">
      <alignment horizontal="right" vertical="center"/>
    </xf>
    <xf numFmtId="190" fontId="4" fillId="4" borderId="82" xfId="0" applyNumberFormat="1" applyFont="1" applyFill="1" applyBorder="1" applyAlignment="1">
      <alignment horizontal="right" vertical="center"/>
    </xf>
    <xf numFmtId="181" fontId="4" fillId="3" borderId="32" xfId="0" applyNumberFormat="1" applyFont="1" applyFill="1" applyBorder="1" applyAlignment="1">
      <alignment horizontal="center" vertical="center"/>
    </xf>
    <xf numFmtId="181" fontId="4" fillId="3" borderId="83" xfId="0" applyNumberFormat="1" applyFont="1" applyFill="1" applyBorder="1" applyAlignment="1">
      <alignment horizontal="center" vertical="center"/>
    </xf>
    <xf numFmtId="181" fontId="4" fillId="3" borderId="58" xfId="0" applyNumberFormat="1" applyFont="1" applyFill="1" applyBorder="1" applyAlignment="1">
      <alignment horizontal="center" vertical="center"/>
    </xf>
    <xf numFmtId="181" fontId="4" fillId="3" borderId="84" xfId="0" applyNumberFormat="1" applyFont="1" applyFill="1" applyBorder="1" applyAlignment="1">
      <alignment horizontal="center" vertical="center"/>
    </xf>
    <xf numFmtId="181" fontId="4" fillId="3" borderId="85" xfId="0" applyNumberFormat="1" applyFont="1" applyFill="1" applyBorder="1" applyAlignment="1">
      <alignment horizontal="center" vertical="center"/>
    </xf>
    <xf numFmtId="181" fontId="4" fillId="3" borderId="72" xfId="0" applyNumberFormat="1" applyFont="1" applyFill="1" applyBorder="1" applyAlignment="1">
      <alignment horizontal="center" vertical="center"/>
    </xf>
    <xf numFmtId="181" fontId="4" fillId="3" borderId="86" xfId="0" applyNumberFormat="1" applyFont="1" applyFill="1" applyBorder="1" applyAlignment="1">
      <alignment horizontal="center" vertical="center"/>
    </xf>
    <xf numFmtId="181" fontId="4" fillId="3" borderId="59" xfId="0" applyNumberFormat="1" applyFont="1" applyFill="1" applyBorder="1" applyAlignment="1">
      <alignment horizontal="center" vertical="center"/>
    </xf>
    <xf numFmtId="181" fontId="4" fillId="3" borderId="76" xfId="0" applyNumberFormat="1" applyFont="1" applyFill="1" applyBorder="1" applyAlignment="1">
      <alignment horizontal="center" vertical="center"/>
    </xf>
    <xf numFmtId="181" fontId="4" fillId="3" borderId="33" xfId="0" applyNumberFormat="1" applyFont="1" applyFill="1" applyBorder="1" applyAlignment="1">
      <alignment horizontal="center" vertical="center"/>
    </xf>
    <xf numFmtId="181" fontId="4" fillId="3" borderId="44" xfId="0" applyNumberFormat="1" applyFont="1" applyFill="1" applyBorder="1" applyAlignment="1">
      <alignment horizontal="center" vertical="center"/>
    </xf>
    <xf numFmtId="181" fontId="4" fillId="3" borderId="45" xfId="0" applyNumberFormat="1" applyFont="1" applyFill="1" applyBorder="1" applyAlignment="1">
      <alignment horizontal="center" vertical="center"/>
    </xf>
    <xf numFmtId="181" fontId="4" fillId="3" borderId="69" xfId="0" applyNumberFormat="1" applyFont="1" applyFill="1" applyBorder="1" applyAlignment="1">
      <alignment horizontal="center" vertical="center"/>
    </xf>
    <xf numFmtId="181" fontId="4" fillId="3" borderId="67" xfId="0" applyNumberFormat="1" applyFont="1" applyFill="1" applyBorder="1" applyAlignment="1">
      <alignment horizontal="center" vertical="center"/>
    </xf>
    <xf numFmtId="181" fontId="4" fillId="3" borderId="12" xfId="0" applyNumberFormat="1" applyFont="1" applyFill="1" applyBorder="1" applyAlignment="1">
      <alignment horizontal="center" vertical="center"/>
    </xf>
    <xf numFmtId="181" fontId="19" fillId="9" borderId="17" xfId="0" applyNumberFormat="1" applyFont="1" applyFill="1" applyBorder="1" applyAlignment="1">
      <alignment horizontal="center" vertical="center"/>
    </xf>
    <xf numFmtId="181" fontId="19" fillId="9" borderId="22" xfId="0" applyNumberFormat="1" applyFont="1" applyFill="1" applyBorder="1" applyAlignment="1">
      <alignment horizontal="center" vertical="center"/>
    </xf>
    <xf numFmtId="195" fontId="4" fillId="9" borderId="23" xfId="0" applyNumberFormat="1" applyFont="1" applyFill="1" applyBorder="1" applyAlignment="1">
      <alignment horizontal="right" vertical="center"/>
    </xf>
    <xf numFmtId="195" fontId="4" fillId="9" borderId="88" xfId="0" applyNumberFormat="1" applyFont="1" applyFill="1" applyBorder="1" applyAlignment="1">
      <alignment horizontal="right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71" xfId="0" applyFont="1" applyFill="1" applyBorder="1" applyAlignment="1">
      <alignment horizontal="center" vertical="center"/>
    </xf>
    <xf numFmtId="0" fontId="4" fillId="4" borderId="72" xfId="0" applyFont="1" applyFill="1" applyBorder="1" applyAlignment="1">
      <alignment horizontal="center" vertical="center"/>
    </xf>
    <xf numFmtId="0" fontId="4" fillId="4" borderId="73" xfId="0" applyFont="1" applyFill="1" applyBorder="1" applyAlignment="1">
      <alignment horizontal="center" vertical="center"/>
    </xf>
    <xf numFmtId="0" fontId="4" fillId="4" borderId="74" xfId="0" applyFont="1" applyFill="1" applyBorder="1" applyAlignment="1">
      <alignment horizontal="center" vertical="center"/>
    </xf>
    <xf numFmtId="0" fontId="4" fillId="4" borderId="75" xfId="0" applyFont="1" applyFill="1" applyBorder="1" applyAlignment="1">
      <alignment horizontal="center" vertical="center"/>
    </xf>
    <xf numFmtId="181" fontId="4" fillId="4" borderId="76" xfId="0" applyNumberFormat="1" applyFont="1" applyFill="1" applyBorder="1" applyAlignment="1">
      <alignment horizontal="center" vertical="center"/>
    </xf>
    <xf numFmtId="181" fontId="4" fillId="4" borderId="71" xfId="0" applyNumberFormat="1" applyFont="1" applyFill="1" applyBorder="1" applyAlignment="1">
      <alignment horizontal="center" vertical="center"/>
    </xf>
    <xf numFmtId="181" fontId="4" fillId="4" borderId="72" xfId="0" applyNumberFormat="1" applyFont="1" applyFill="1" applyBorder="1" applyAlignment="1">
      <alignment horizontal="center" vertical="center"/>
    </xf>
    <xf numFmtId="181" fontId="4" fillId="4" borderId="77" xfId="0" applyNumberFormat="1" applyFont="1" applyFill="1" applyBorder="1" applyAlignment="1">
      <alignment horizontal="center" vertical="center"/>
    </xf>
    <xf numFmtId="181" fontId="4" fillId="4" borderId="74" xfId="0" applyNumberFormat="1" applyFont="1" applyFill="1" applyBorder="1" applyAlignment="1">
      <alignment horizontal="center" vertical="center"/>
    </xf>
    <xf numFmtId="181" fontId="4" fillId="4" borderId="75" xfId="0" applyNumberFormat="1" applyFont="1" applyFill="1" applyBorder="1" applyAlignment="1">
      <alignment horizontal="center" vertical="center"/>
    </xf>
    <xf numFmtId="0" fontId="10" fillId="4" borderId="76" xfId="0" applyFont="1" applyFill="1" applyBorder="1" applyAlignment="1">
      <alignment horizontal="center" vertical="center"/>
    </xf>
    <xf numFmtId="0" fontId="10" fillId="4" borderId="7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9" fontId="4" fillId="2" borderId="40" xfId="3" applyFont="1" applyFill="1" applyBorder="1" applyAlignment="1">
      <alignment horizontal="center" vertical="center"/>
    </xf>
    <xf numFmtId="9" fontId="4" fillId="2" borderId="46" xfId="3" applyFont="1" applyFill="1" applyBorder="1" applyAlignment="1">
      <alignment horizontal="center" vertical="center"/>
    </xf>
    <xf numFmtId="9" fontId="4" fillId="2" borderId="47" xfId="3" applyFont="1" applyFill="1" applyBorder="1" applyAlignment="1">
      <alignment horizontal="center" vertical="center"/>
    </xf>
    <xf numFmtId="9" fontId="4" fillId="2" borderId="48" xfId="3" applyFont="1" applyFill="1" applyBorder="1" applyAlignment="1">
      <alignment horizontal="center" vertical="center"/>
    </xf>
    <xf numFmtId="181" fontId="4" fillId="4" borderId="50" xfId="0" applyNumberFormat="1" applyFont="1" applyFill="1" applyBorder="1" applyAlignment="1">
      <alignment horizontal="center" vertical="center"/>
    </xf>
    <xf numFmtId="181" fontId="4" fillId="4" borderId="51" xfId="0" applyNumberFormat="1" applyFont="1" applyFill="1" applyBorder="1" applyAlignment="1">
      <alignment horizontal="center" vertical="center"/>
    </xf>
    <xf numFmtId="181" fontId="4" fillId="4" borderId="52" xfId="0" applyNumberFormat="1" applyFont="1" applyFill="1" applyBorder="1" applyAlignment="1">
      <alignment horizontal="center" vertical="center"/>
    </xf>
    <xf numFmtId="181" fontId="19" fillId="3" borderId="14" xfId="0" applyNumberFormat="1" applyFont="1" applyFill="1" applyBorder="1" applyAlignment="1">
      <alignment horizontal="center" vertical="center"/>
    </xf>
    <xf numFmtId="181" fontId="19" fillId="3" borderId="15" xfId="0" applyNumberFormat="1" applyFont="1" applyFill="1" applyBorder="1" applyAlignment="1">
      <alignment horizontal="center" vertical="center"/>
    </xf>
    <xf numFmtId="181" fontId="4" fillId="3" borderId="25" xfId="0" applyNumberFormat="1" applyFont="1" applyFill="1" applyBorder="1" applyAlignment="1" applyProtection="1">
      <alignment horizontal="center" vertical="center"/>
      <protection locked="0"/>
    </xf>
    <xf numFmtId="181" fontId="4" fillId="3" borderId="93" xfId="0" applyNumberFormat="1" applyFont="1" applyFill="1" applyBorder="1" applyAlignment="1" applyProtection="1">
      <alignment horizontal="center" vertical="center"/>
      <protection locked="0"/>
    </xf>
    <xf numFmtId="181" fontId="20" fillId="3" borderId="25" xfId="0" applyNumberFormat="1" applyFont="1" applyFill="1" applyBorder="1" applyAlignment="1">
      <alignment horizontal="center" vertical="center"/>
    </xf>
    <xf numFmtId="181" fontId="20" fillId="3" borderId="93" xfId="0" applyNumberFormat="1" applyFont="1" applyFill="1" applyBorder="1" applyAlignment="1">
      <alignment horizontal="center" vertical="center"/>
    </xf>
    <xf numFmtId="181" fontId="4" fillId="3" borderId="13" xfId="0" applyNumberFormat="1" applyFont="1" applyFill="1" applyBorder="1" applyAlignment="1">
      <alignment horizontal="center" vertical="center"/>
    </xf>
    <xf numFmtId="181" fontId="4" fillId="3" borderId="94" xfId="0" applyNumberFormat="1" applyFont="1" applyFill="1" applyBorder="1" applyAlignment="1">
      <alignment horizontal="center" vertical="center"/>
    </xf>
    <xf numFmtId="181" fontId="4" fillId="3" borderId="95" xfId="0" applyNumberFormat="1" applyFont="1" applyFill="1" applyBorder="1" applyAlignment="1">
      <alignment horizontal="center" vertical="center"/>
    </xf>
    <xf numFmtId="181" fontId="4" fillId="3" borderId="91" xfId="0" applyNumberFormat="1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181" fontId="4" fillId="3" borderId="66" xfId="0" applyNumberFormat="1" applyFont="1" applyFill="1" applyBorder="1" applyAlignment="1">
      <alignment horizontal="center" vertical="center"/>
    </xf>
    <xf numFmtId="181" fontId="4" fillId="3" borderId="25" xfId="0" applyNumberFormat="1" applyFont="1" applyFill="1" applyBorder="1" applyAlignment="1">
      <alignment horizontal="center" vertical="center"/>
    </xf>
    <xf numFmtId="181" fontId="4" fillId="3" borderId="89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8" borderId="97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181" fontId="4" fillId="3" borderId="91" xfId="0" applyNumberFormat="1" applyFont="1" applyFill="1" applyBorder="1" applyAlignment="1" applyProtection="1">
      <alignment horizontal="center" vertical="center"/>
      <protection locked="0"/>
    </xf>
    <xf numFmtId="196" fontId="10" fillId="4" borderId="41" xfId="0" applyNumberFormat="1" applyFont="1" applyFill="1" applyBorder="1" applyAlignment="1" applyProtection="1">
      <alignment horizontal="right" vertical="top"/>
      <protection locked="0"/>
    </xf>
    <xf numFmtId="0" fontId="4" fillId="6" borderId="53" xfId="0" applyFont="1" applyFill="1" applyBorder="1" applyAlignment="1">
      <alignment horizontal="center" vertical="center" textRotation="255"/>
    </xf>
    <xf numFmtId="0" fontId="4" fillId="6" borderId="54" xfId="0" applyFont="1" applyFill="1" applyBorder="1" applyAlignment="1">
      <alignment horizontal="center" vertical="center" textRotation="255"/>
    </xf>
    <xf numFmtId="0" fontId="4" fillId="6" borderId="55" xfId="0" applyFont="1" applyFill="1" applyBorder="1" applyAlignment="1">
      <alignment horizontal="center" vertical="center" textRotation="255"/>
    </xf>
    <xf numFmtId="0" fontId="4" fillId="2" borderId="22" xfId="0" applyFont="1" applyFill="1" applyBorder="1" applyAlignment="1">
      <alignment horizontal="center" vertical="center"/>
    </xf>
    <xf numFmtId="181" fontId="4" fillId="4" borderId="98" xfId="0" applyNumberFormat="1" applyFont="1" applyFill="1" applyBorder="1" applyAlignment="1" applyProtection="1">
      <alignment horizontal="center" vertical="center"/>
      <protection locked="0"/>
    </xf>
    <xf numFmtId="181" fontId="4" fillId="4" borderId="51" xfId="0" applyNumberFormat="1" applyFont="1" applyFill="1" applyBorder="1" applyAlignment="1" applyProtection="1">
      <alignment horizontal="center" vertical="center"/>
      <protection locked="0"/>
    </xf>
    <xf numFmtId="181" fontId="4" fillId="4" borderId="52" xfId="0" applyNumberFormat="1" applyFont="1" applyFill="1" applyBorder="1" applyAlignment="1" applyProtection="1">
      <alignment horizontal="center" vertical="center"/>
      <protection locked="0"/>
    </xf>
    <xf numFmtId="181" fontId="4" fillId="4" borderId="26" xfId="0" applyNumberFormat="1" applyFont="1" applyFill="1" applyBorder="1" applyAlignment="1" applyProtection="1">
      <alignment horizontal="center" vertical="center"/>
      <protection locked="0"/>
    </xf>
    <xf numFmtId="181" fontId="4" fillId="4" borderId="26" xfId="0" applyNumberFormat="1" applyFont="1" applyFill="1" applyBorder="1" applyAlignment="1">
      <alignment horizontal="center" vertical="center"/>
    </xf>
    <xf numFmtId="181" fontId="4" fillId="4" borderId="67" xfId="0" applyNumberFormat="1" applyFont="1" applyFill="1" applyBorder="1" applyAlignment="1">
      <alignment horizontal="center" vertical="center"/>
    </xf>
    <xf numFmtId="181" fontId="4" fillId="4" borderId="68" xfId="0" applyNumberFormat="1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181" fontId="4" fillId="2" borderId="63" xfId="0" applyNumberFormat="1" applyFont="1" applyFill="1" applyBorder="1" applyAlignment="1">
      <alignment horizontal="center" vertical="center"/>
    </xf>
    <xf numFmtId="181" fontId="4" fillId="2" borderId="22" xfId="0" applyNumberFormat="1" applyFont="1" applyFill="1" applyBorder="1" applyAlignment="1">
      <alignment horizontal="center" vertical="center"/>
    </xf>
    <xf numFmtId="182" fontId="4" fillId="4" borderId="5" xfId="0" applyNumberFormat="1" applyFont="1" applyFill="1" applyBorder="1" applyAlignment="1" applyProtection="1">
      <alignment horizontal="center" vertical="center"/>
      <protection locked="0"/>
    </xf>
    <xf numFmtId="181" fontId="4" fillId="3" borderId="12" xfId="2" applyNumberFormat="1" applyFont="1" applyFill="1" applyBorder="1" applyAlignment="1">
      <alignment horizontal="center" vertical="center"/>
    </xf>
    <xf numFmtId="181" fontId="4" fillId="3" borderId="69" xfId="2" applyNumberFormat="1" applyFont="1" applyFill="1" applyBorder="1" applyAlignment="1">
      <alignment horizontal="center" vertical="center"/>
    </xf>
    <xf numFmtId="181" fontId="4" fillId="3" borderId="13" xfId="2" applyNumberFormat="1" applyFont="1" applyFill="1" applyBorder="1" applyAlignment="1">
      <alignment horizontal="center" vertical="center"/>
    </xf>
    <xf numFmtId="183" fontId="4" fillId="3" borderId="24" xfId="2" applyNumberFormat="1" applyFont="1" applyFill="1" applyBorder="1" applyAlignment="1">
      <alignment horizontal="center" vertical="center"/>
    </xf>
    <xf numFmtId="183" fontId="4" fillId="3" borderId="87" xfId="2" applyNumberFormat="1" applyFont="1" applyFill="1" applyBorder="1" applyAlignment="1">
      <alignment horizontal="center" vertical="center"/>
    </xf>
    <xf numFmtId="182" fontId="4" fillId="4" borderId="25" xfId="0" applyNumberFormat="1" applyFont="1" applyFill="1" applyBorder="1" applyAlignment="1">
      <alignment horizontal="center" vertical="center"/>
    </xf>
    <xf numFmtId="182" fontId="4" fillId="4" borderId="93" xfId="0" applyNumberFormat="1" applyFont="1" applyFill="1" applyBorder="1" applyAlignment="1">
      <alignment horizontal="center" vertical="center"/>
    </xf>
    <xf numFmtId="181" fontId="4" fillId="3" borderId="15" xfId="0" applyNumberFormat="1" applyFont="1" applyFill="1" applyBorder="1" applyAlignment="1" applyProtection="1">
      <alignment horizontal="center" vertical="center"/>
      <protection locked="0"/>
    </xf>
    <xf numFmtId="182" fontId="6" fillId="4" borderId="92" xfId="0" applyNumberFormat="1" applyFont="1" applyFill="1" applyBorder="1" applyAlignment="1" applyProtection="1">
      <alignment horizontal="center" vertical="center"/>
      <protection locked="0"/>
    </xf>
    <xf numFmtId="182" fontId="6" fillId="4" borderId="15" xfId="0" applyNumberFormat="1" applyFont="1" applyFill="1" applyBorder="1" applyAlignment="1" applyProtection="1">
      <alignment horizontal="center" vertical="center"/>
      <protection locked="0"/>
    </xf>
    <xf numFmtId="182" fontId="6" fillId="4" borderId="25" xfId="0" applyNumberFormat="1" applyFont="1" applyFill="1" applyBorder="1" applyAlignment="1" applyProtection="1">
      <alignment horizontal="center" vertical="center"/>
      <protection locked="0"/>
    </xf>
    <xf numFmtId="180" fontId="4" fillId="4" borderId="32" xfId="0" applyNumberFormat="1" applyFont="1" applyFill="1" applyBorder="1" applyAlignment="1">
      <alignment horizontal="center" vertical="center"/>
    </xf>
    <xf numFmtId="180" fontId="4" fillId="4" borderId="71" xfId="0" applyNumberFormat="1" applyFont="1" applyFill="1" applyBorder="1" applyAlignment="1">
      <alignment horizontal="center" vertical="center"/>
    </xf>
    <xf numFmtId="180" fontId="4" fillId="4" borderId="73" xfId="0" applyNumberFormat="1" applyFont="1" applyFill="1" applyBorder="1" applyAlignment="1">
      <alignment horizontal="center" vertical="center"/>
    </xf>
    <xf numFmtId="180" fontId="4" fillId="4" borderId="74" xfId="0" applyNumberFormat="1" applyFont="1" applyFill="1" applyBorder="1" applyAlignment="1">
      <alignment horizontal="center" vertical="center"/>
    </xf>
    <xf numFmtId="181" fontId="4" fillId="3" borderId="79" xfId="2" applyNumberFormat="1" applyFont="1" applyFill="1" applyBorder="1" applyAlignment="1">
      <alignment horizontal="center" vertical="center"/>
    </xf>
    <xf numFmtId="181" fontId="4" fillId="3" borderId="80" xfId="2" applyNumberFormat="1" applyFont="1" applyFill="1" applyBorder="1" applyAlignment="1">
      <alignment horizontal="center" vertical="center"/>
    </xf>
    <xf numFmtId="181" fontId="4" fillId="3" borderId="82" xfId="2" applyNumberFormat="1" applyFont="1" applyFill="1" applyBorder="1" applyAlignment="1">
      <alignment horizontal="center" vertical="center"/>
    </xf>
    <xf numFmtId="0" fontId="4" fillId="3" borderId="102" xfId="0" applyFont="1" applyFill="1" applyBorder="1" applyAlignment="1">
      <alignment horizontal="left" vertical="center" wrapText="1"/>
    </xf>
    <xf numFmtId="0" fontId="4" fillId="3" borderId="40" xfId="0" applyFont="1" applyFill="1" applyBorder="1" applyAlignment="1">
      <alignment horizontal="left" vertical="center"/>
    </xf>
    <xf numFmtId="0" fontId="4" fillId="3" borderId="46" xfId="0" applyFont="1" applyFill="1" applyBorder="1" applyAlignment="1">
      <alignment horizontal="left" vertical="center"/>
    </xf>
    <xf numFmtId="0" fontId="4" fillId="6" borderId="137" xfId="0" applyFont="1" applyFill="1" applyBorder="1" applyAlignment="1">
      <alignment horizontal="center" vertical="center" wrapText="1"/>
    </xf>
    <xf numFmtId="0" fontId="4" fillId="6" borderId="142" xfId="0" applyFont="1" applyFill="1" applyBorder="1" applyAlignment="1">
      <alignment horizontal="center" vertical="center" wrapText="1"/>
    </xf>
    <xf numFmtId="0" fontId="4" fillId="6" borderId="142" xfId="0" applyFont="1" applyFill="1" applyBorder="1" applyAlignment="1">
      <alignment horizontal="center" vertical="center"/>
    </xf>
    <xf numFmtId="0" fontId="4" fillId="6" borderId="144" xfId="0" applyFont="1" applyFill="1" applyBorder="1" applyAlignment="1">
      <alignment horizontal="center" vertical="center"/>
    </xf>
    <xf numFmtId="181" fontId="4" fillId="4" borderId="145" xfId="0" applyNumberFormat="1" applyFont="1" applyFill="1" applyBorder="1" applyAlignment="1">
      <alignment horizontal="center" vertical="center"/>
    </xf>
    <xf numFmtId="181" fontId="4" fillId="4" borderId="146" xfId="0" applyNumberFormat="1" applyFont="1" applyFill="1" applyBorder="1" applyAlignment="1">
      <alignment horizontal="center" vertical="center"/>
    </xf>
    <xf numFmtId="181" fontId="4" fillId="3" borderId="150" xfId="0" applyNumberFormat="1" applyFont="1" applyFill="1" applyBorder="1" applyAlignment="1">
      <alignment horizontal="center" vertical="center"/>
    </xf>
    <xf numFmtId="181" fontId="4" fillId="3" borderId="37" xfId="0" applyNumberFormat="1" applyFont="1" applyFill="1" applyBorder="1" applyAlignment="1">
      <alignment horizontal="center" vertical="center"/>
    </xf>
    <xf numFmtId="182" fontId="4" fillId="3" borderId="58" xfId="0" applyNumberFormat="1" applyFont="1" applyFill="1" applyBorder="1" applyAlignment="1" applyProtection="1">
      <alignment horizontal="center" vertical="center"/>
      <protection locked="0"/>
    </xf>
    <xf numFmtId="182" fontId="4" fillId="3" borderId="45" xfId="0" applyNumberFormat="1" applyFont="1" applyFill="1" applyBorder="1" applyAlignment="1" applyProtection="1">
      <alignment horizontal="center" vertical="center"/>
      <protection locked="0"/>
    </xf>
    <xf numFmtId="181" fontId="4" fillId="3" borderId="147" xfId="0" applyNumberFormat="1" applyFont="1" applyFill="1" applyBorder="1" applyAlignment="1">
      <alignment horizontal="center" vertical="center"/>
    </xf>
    <xf numFmtId="181" fontId="4" fillId="3" borderId="167" xfId="0" applyNumberFormat="1" applyFont="1" applyFill="1" applyBorder="1" applyAlignment="1">
      <alignment horizontal="center" vertical="center"/>
    </xf>
    <xf numFmtId="0" fontId="4" fillId="6" borderId="102" xfId="0" applyFont="1" applyFill="1" applyBorder="1" applyAlignment="1">
      <alignment horizontal="center" vertical="center" textRotation="255" wrapText="1"/>
    </xf>
    <xf numFmtId="0" fontId="4" fillId="6" borderId="103" xfId="0" applyFont="1" applyFill="1" applyBorder="1" applyAlignment="1">
      <alignment horizontal="center" vertical="center" textRotation="255"/>
    </xf>
    <xf numFmtId="0" fontId="4" fillId="6" borderId="104" xfId="0" applyFont="1" applyFill="1" applyBorder="1" applyAlignment="1">
      <alignment horizontal="center" vertical="center" textRotation="255"/>
    </xf>
    <xf numFmtId="193" fontId="6" fillId="4" borderId="25" xfId="0" applyNumberFormat="1" applyFont="1" applyFill="1" applyBorder="1" applyAlignment="1" applyProtection="1">
      <alignment horizontal="center" vertical="center"/>
      <protection locked="0"/>
    </xf>
    <xf numFmtId="193" fontId="6" fillId="4" borderId="15" xfId="0" applyNumberFormat="1" applyFont="1" applyFill="1" applyBorder="1" applyAlignment="1" applyProtection="1">
      <alignment horizontal="center" vertical="center"/>
      <protection locked="0"/>
    </xf>
    <xf numFmtId="186" fontId="4" fillId="4" borderId="25" xfId="0" applyNumberFormat="1" applyFont="1" applyFill="1" applyBorder="1" applyAlignment="1">
      <alignment horizontal="center" vertical="center"/>
    </xf>
    <xf numFmtId="186" fontId="4" fillId="4" borderId="92" xfId="0" applyNumberFormat="1" applyFont="1" applyFill="1" applyBorder="1" applyAlignment="1">
      <alignment horizontal="center" vertical="center"/>
    </xf>
    <xf numFmtId="180" fontId="4" fillId="4" borderId="153" xfId="0" applyNumberFormat="1" applyFont="1" applyFill="1" applyBorder="1" applyAlignment="1" applyProtection="1">
      <alignment horizontal="center" vertical="center"/>
      <protection locked="0"/>
    </xf>
    <xf numFmtId="180" fontId="4" fillId="4" borderId="154" xfId="0" applyNumberFormat="1" applyFont="1" applyFill="1" applyBorder="1" applyAlignment="1" applyProtection="1">
      <alignment horizontal="center" vertical="center"/>
      <protection locked="0"/>
    </xf>
    <xf numFmtId="180" fontId="4" fillId="4" borderId="155" xfId="0" applyNumberFormat="1" applyFont="1" applyFill="1" applyBorder="1" applyAlignment="1" applyProtection="1">
      <alignment horizontal="center" vertical="center"/>
      <protection locked="0"/>
    </xf>
    <xf numFmtId="180" fontId="4" fillId="4" borderId="39" xfId="0" applyNumberFormat="1" applyFont="1" applyFill="1" applyBorder="1" applyAlignment="1" applyProtection="1">
      <alignment horizontal="center" vertical="center"/>
      <protection locked="0"/>
    </xf>
    <xf numFmtId="181" fontId="4" fillId="3" borderId="24" xfId="0" applyNumberFormat="1" applyFont="1" applyFill="1" applyBorder="1" applyAlignment="1" applyProtection="1">
      <alignment horizontal="center" vertical="center"/>
      <protection locked="0"/>
    </xf>
    <xf numFmtId="181" fontId="4" fillId="3" borderId="13" xfId="0" applyNumberFormat="1" applyFont="1" applyFill="1" applyBorder="1" applyAlignment="1" applyProtection="1">
      <alignment horizontal="center" vertical="center"/>
      <protection locked="0"/>
    </xf>
    <xf numFmtId="180" fontId="4" fillId="4" borderId="23" xfId="0" applyNumberFormat="1" applyFont="1" applyFill="1" applyBorder="1" applyAlignment="1" applyProtection="1">
      <alignment horizontal="center" vertical="center"/>
      <protection locked="0"/>
    </xf>
    <xf numFmtId="180" fontId="4" fillId="4" borderId="63" xfId="0" applyNumberFormat="1" applyFont="1" applyFill="1" applyBorder="1" applyAlignment="1" applyProtection="1">
      <alignment horizontal="center" vertical="center"/>
      <protection locked="0"/>
    </xf>
    <xf numFmtId="181" fontId="4" fillId="3" borderId="68" xfId="0" applyNumberFormat="1" applyFont="1" applyFill="1" applyBorder="1" applyAlignment="1" applyProtection="1">
      <alignment horizontal="center" vertical="center"/>
      <protection locked="0"/>
    </xf>
    <xf numFmtId="193" fontId="6" fillId="4" borderId="23" xfId="0" applyNumberFormat="1" applyFont="1" applyFill="1" applyBorder="1" applyAlignment="1" applyProtection="1">
      <alignment horizontal="center" vertical="center"/>
      <protection locked="0"/>
    </xf>
    <xf numFmtId="193" fontId="6" fillId="4" borderId="22" xfId="0" applyNumberFormat="1" applyFont="1" applyFill="1" applyBorder="1" applyAlignment="1" applyProtection="1">
      <alignment horizontal="center" vertical="center"/>
      <protection locked="0"/>
    </xf>
    <xf numFmtId="181" fontId="4" fillId="4" borderId="150" xfId="0" applyNumberFormat="1" applyFont="1" applyFill="1" applyBorder="1" applyAlignment="1" applyProtection="1">
      <alignment horizontal="center" vertical="center"/>
      <protection locked="0"/>
    </xf>
    <xf numFmtId="181" fontId="4" fillId="4" borderId="37" xfId="0" applyNumberFormat="1" applyFont="1" applyFill="1" applyBorder="1" applyAlignment="1" applyProtection="1">
      <alignment horizontal="center" vertical="center"/>
      <protection locked="0"/>
    </xf>
    <xf numFmtId="186" fontId="4" fillId="4" borderId="23" xfId="0" applyNumberFormat="1" applyFont="1" applyFill="1" applyBorder="1" applyAlignment="1">
      <alignment horizontal="center" vertical="center"/>
    </xf>
    <xf numFmtId="186" fontId="4" fillId="4" borderId="63" xfId="0" applyNumberFormat="1" applyFont="1" applyFill="1" applyBorder="1" applyAlignment="1">
      <alignment horizontal="center" vertical="center"/>
    </xf>
    <xf numFmtId="186" fontId="4" fillId="4" borderId="44" xfId="0" applyNumberFormat="1" applyFont="1" applyFill="1" applyBorder="1" applyAlignment="1" applyProtection="1">
      <alignment horizontal="center" vertical="center"/>
      <protection locked="0"/>
    </xf>
    <xf numFmtId="186" fontId="4" fillId="4" borderId="47" xfId="0" applyNumberFormat="1" applyFont="1" applyFill="1" applyBorder="1" applyAlignment="1" applyProtection="1">
      <alignment horizontal="center" vertical="center"/>
      <protection locked="0"/>
    </xf>
    <xf numFmtId="186" fontId="4" fillId="4" borderId="45" xfId="0" applyNumberFormat="1" applyFont="1" applyFill="1" applyBorder="1" applyAlignment="1" applyProtection="1">
      <alignment horizontal="center" vertical="center"/>
      <protection locked="0"/>
    </xf>
    <xf numFmtId="186" fontId="4" fillId="4" borderId="14" xfId="0" applyNumberFormat="1" applyFont="1" applyFill="1" applyBorder="1" applyAlignment="1" applyProtection="1">
      <alignment horizontal="center" vertical="center"/>
      <protection locked="0"/>
    </xf>
    <xf numFmtId="186" fontId="4" fillId="4" borderId="92" xfId="0" applyNumberFormat="1" applyFont="1" applyFill="1" applyBorder="1" applyAlignment="1" applyProtection="1">
      <alignment horizontal="center" vertical="center"/>
      <protection locked="0"/>
    </xf>
    <xf numFmtId="186" fontId="4" fillId="4" borderId="15" xfId="0" applyNumberFormat="1" applyFont="1" applyFill="1" applyBorder="1" applyAlignment="1" applyProtection="1">
      <alignment horizontal="center" vertical="center"/>
      <protection locked="0"/>
    </xf>
    <xf numFmtId="181" fontId="6" fillId="4" borderId="156" xfId="0" applyNumberFormat="1" applyFont="1" applyFill="1" applyBorder="1" applyAlignment="1" applyProtection="1">
      <alignment horizontal="center" vertical="center"/>
      <protection locked="0"/>
    </xf>
    <xf numFmtId="181" fontId="6" fillId="4" borderId="157" xfId="0" applyNumberFormat="1" applyFont="1" applyFill="1" applyBorder="1" applyAlignment="1" applyProtection="1">
      <alignment horizontal="center" vertical="center"/>
      <protection locked="0"/>
    </xf>
    <xf numFmtId="187" fontId="4" fillId="4" borderId="32" xfId="0" applyNumberFormat="1" applyFont="1" applyFill="1" applyBorder="1" applyAlignment="1">
      <alignment horizontal="center" vertical="center"/>
    </xf>
    <xf numFmtId="187" fontId="4" fillId="4" borderId="72" xfId="0" applyNumberFormat="1" applyFont="1" applyFill="1" applyBorder="1" applyAlignment="1">
      <alignment horizontal="center" vertical="center"/>
    </xf>
    <xf numFmtId="187" fontId="4" fillId="4" borderId="73" xfId="0" applyNumberFormat="1" applyFont="1" applyFill="1" applyBorder="1" applyAlignment="1">
      <alignment horizontal="center" vertical="center"/>
    </xf>
    <xf numFmtId="187" fontId="4" fillId="4" borderId="75" xfId="0" applyNumberFormat="1" applyFont="1" applyFill="1" applyBorder="1" applyAlignment="1">
      <alignment horizontal="center" vertical="center"/>
    </xf>
    <xf numFmtId="0" fontId="6" fillId="4" borderId="63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191" fontId="6" fillId="4" borderId="25" xfId="1" applyNumberFormat="1" applyFont="1" applyFill="1" applyBorder="1" applyAlignment="1" applyProtection="1">
      <alignment horizontal="center" vertical="center"/>
      <protection locked="0"/>
    </xf>
    <xf numFmtId="191" fontId="6" fillId="4" borderId="15" xfId="1" applyNumberFormat="1" applyFont="1" applyFill="1" applyBorder="1" applyAlignment="1" applyProtection="1">
      <alignment horizontal="center" vertical="center"/>
      <protection locked="0"/>
    </xf>
    <xf numFmtId="38" fontId="6" fillId="4" borderId="1" xfId="0" applyNumberFormat="1" applyFont="1" applyFill="1" applyBorder="1" applyAlignment="1">
      <alignment horizontal="center" vertical="center"/>
    </xf>
    <xf numFmtId="38" fontId="6" fillId="4" borderId="111" xfId="0" applyNumberFormat="1" applyFont="1" applyFill="1" applyBorder="1" applyAlignment="1">
      <alignment horizontal="center" vertical="center"/>
    </xf>
    <xf numFmtId="24" fontId="4" fillId="4" borderId="25" xfId="0" applyNumberFormat="1" applyFont="1" applyFill="1" applyBorder="1" applyAlignment="1" applyProtection="1">
      <alignment horizontal="center" vertical="center"/>
      <protection locked="0"/>
    </xf>
    <xf numFmtId="24" fontId="4" fillId="4" borderId="92" xfId="0" applyNumberFormat="1" applyFont="1" applyFill="1" applyBorder="1" applyAlignment="1" applyProtection="1">
      <alignment horizontal="center" vertical="center"/>
      <protection locked="0"/>
    </xf>
    <xf numFmtId="24" fontId="4" fillId="4" borderId="15" xfId="0" applyNumberFormat="1" applyFont="1" applyFill="1" applyBorder="1" applyAlignment="1" applyProtection="1">
      <alignment horizontal="center" vertical="center"/>
      <protection locked="0"/>
    </xf>
    <xf numFmtId="178" fontId="4" fillId="4" borderId="14" xfId="0" applyNumberFormat="1" applyFont="1" applyFill="1" applyBorder="1" applyAlignment="1" applyProtection="1">
      <alignment horizontal="center" vertical="center"/>
      <protection locked="0"/>
    </xf>
    <xf numFmtId="178" fontId="4" fillId="4" borderId="15" xfId="0" applyNumberFormat="1" applyFont="1" applyFill="1" applyBorder="1" applyAlignment="1" applyProtection="1">
      <alignment horizontal="center" vertical="center"/>
      <protection locked="0"/>
    </xf>
    <xf numFmtId="183" fontId="4" fillId="3" borderId="71" xfId="2" applyNumberFormat="1" applyFont="1" applyFill="1" applyBorder="1" applyAlignment="1">
      <alignment horizontal="center" vertical="center"/>
    </xf>
    <xf numFmtId="183" fontId="4" fillId="3" borderId="78" xfId="2" applyNumberFormat="1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left" vertical="center"/>
    </xf>
    <xf numFmtId="0" fontId="4" fillId="6" borderId="103" xfId="0" applyFont="1" applyFill="1" applyBorder="1" applyAlignment="1">
      <alignment horizontal="center" vertical="center" textRotation="255" wrapText="1"/>
    </xf>
    <xf numFmtId="0" fontId="4" fillId="6" borderId="104" xfId="0" applyFont="1" applyFill="1" applyBorder="1" applyAlignment="1">
      <alignment horizontal="center" vertical="center" textRotation="255" wrapText="1"/>
    </xf>
    <xf numFmtId="180" fontId="24" fillId="4" borderId="110" xfId="0" applyNumberFormat="1" applyFont="1" applyFill="1" applyBorder="1" applyAlignment="1" applyProtection="1">
      <alignment horizontal="center" vertical="center"/>
      <protection locked="0"/>
    </xf>
    <xf numFmtId="180" fontId="24" fillId="4" borderId="37" xfId="0" applyNumberFormat="1" applyFont="1" applyFill="1" applyBorder="1" applyAlignment="1" applyProtection="1">
      <alignment horizontal="center" vertical="center"/>
      <protection locked="0"/>
    </xf>
    <xf numFmtId="183" fontId="4" fillId="4" borderId="68" xfId="2" applyNumberFormat="1" applyFont="1" applyFill="1" applyBorder="1" applyAlignment="1">
      <alignment horizontal="center" vertical="center"/>
    </xf>
    <xf numFmtId="180" fontId="4" fillId="4" borderId="24" xfId="0" applyNumberFormat="1" applyFont="1" applyFill="1" applyBorder="1" applyAlignment="1" applyProtection="1">
      <alignment horizontal="center" vertical="center"/>
      <protection locked="0"/>
    </xf>
    <xf numFmtId="183" fontId="6" fillId="4" borderId="24" xfId="2" applyNumberFormat="1" applyFont="1" applyFill="1" applyBorder="1" applyAlignment="1" applyProtection="1">
      <alignment horizontal="center" vertical="center"/>
      <protection locked="0"/>
    </xf>
    <xf numFmtId="183" fontId="6" fillId="4" borderId="13" xfId="2" applyNumberFormat="1" applyFont="1" applyFill="1" applyBorder="1" applyAlignment="1" applyProtection="1">
      <alignment horizontal="center" vertical="center"/>
      <protection locked="0"/>
    </xf>
    <xf numFmtId="183" fontId="25" fillId="4" borderId="25" xfId="2" applyNumberFormat="1" applyFont="1" applyFill="1" applyBorder="1" applyAlignment="1" applyProtection="1">
      <alignment horizontal="center" vertical="center"/>
      <protection locked="0"/>
    </xf>
    <xf numFmtId="183" fontId="25" fillId="4" borderId="15" xfId="2" applyNumberFormat="1" applyFont="1" applyFill="1" applyBorder="1" applyAlignment="1" applyProtection="1">
      <alignment horizontal="center" vertical="center"/>
      <protection locked="0"/>
    </xf>
    <xf numFmtId="183" fontId="6" fillId="4" borderId="25" xfId="2" applyNumberFormat="1" applyFont="1" applyFill="1" applyBorder="1" applyAlignment="1" applyProtection="1">
      <alignment horizontal="center" vertical="center"/>
      <protection locked="0"/>
    </xf>
    <xf numFmtId="183" fontId="6" fillId="4" borderId="15" xfId="2" applyNumberFormat="1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92" xfId="0" applyFont="1" applyFill="1" applyBorder="1" applyAlignment="1">
      <alignment horizontal="center" vertical="center"/>
    </xf>
    <xf numFmtId="38" fontId="6" fillId="4" borderId="6" xfId="0" applyNumberFormat="1" applyFont="1" applyFill="1" applyBorder="1" applyAlignment="1">
      <alignment horizontal="center" vertical="center"/>
    </xf>
    <xf numFmtId="38" fontId="6" fillId="4" borderId="122" xfId="0" applyNumberFormat="1" applyFont="1" applyFill="1" applyBorder="1" applyAlignment="1">
      <alignment horizontal="center" vertical="center"/>
    </xf>
    <xf numFmtId="179" fontId="4" fillId="4" borderId="164" xfId="0" applyNumberFormat="1" applyFont="1" applyFill="1" applyBorder="1" applyAlignment="1">
      <alignment horizontal="right" vertical="center"/>
    </xf>
    <xf numFmtId="179" fontId="4" fillId="4" borderId="122" xfId="0" applyNumberFormat="1" applyFont="1" applyFill="1" applyBorder="1" applyAlignment="1">
      <alignment horizontal="right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69" xfId="0" applyFont="1" applyFill="1" applyBorder="1" applyAlignment="1">
      <alignment horizontal="center" vertical="center"/>
    </xf>
    <xf numFmtId="38" fontId="6" fillId="4" borderId="4" xfId="0" applyNumberFormat="1" applyFont="1" applyFill="1" applyBorder="1" applyAlignment="1">
      <alignment horizontal="center" vertical="center"/>
    </xf>
    <xf numFmtId="38" fontId="6" fillId="4" borderId="121" xfId="0" applyNumberFormat="1" applyFont="1" applyFill="1" applyBorder="1" applyAlignment="1">
      <alignment horizontal="center" vertical="center"/>
    </xf>
    <xf numFmtId="0" fontId="4" fillId="2" borderId="134" xfId="0" applyFont="1" applyFill="1" applyBorder="1" applyAlignment="1">
      <alignment horizontal="center" vertical="center"/>
    </xf>
    <xf numFmtId="0" fontId="4" fillId="2" borderId="136" xfId="0" applyFont="1" applyFill="1" applyBorder="1" applyAlignment="1">
      <alignment horizontal="center" vertical="center"/>
    </xf>
    <xf numFmtId="0" fontId="4" fillId="2" borderId="135" xfId="0" applyFont="1" applyFill="1" applyBorder="1" applyAlignment="1">
      <alignment horizontal="center" vertical="center"/>
    </xf>
    <xf numFmtId="177" fontId="4" fillId="3" borderId="134" xfId="0" applyNumberFormat="1" applyFont="1" applyFill="1" applyBorder="1" applyAlignment="1" applyProtection="1">
      <alignment horizontal="center" vertical="center"/>
      <protection locked="0"/>
    </xf>
    <xf numFmtId="177" fontId="4" fillId="3" borderId="136" xfId="0" applyNumberFormat="1" applyFont="1" applyFill="1" applyBorder="1" applyAlignment="1" applyProtection="1">
      <alignment horizontal="center" vertical="center"/>
      <protection locked="0"/>
    </xf>
    <xf numFmtId="177" fontId="4" fillId="3" borderId="135" xfId="0" applyNumberFormat="1" applyFont="1" applyFill="1" applyBorder="1" applyAlignment="1" applyProtection="1">
      <alignment horizontal="center" vertical="center"/>
      <protection locked="0"/>
    </xf>
    <xf numFmtId="0" fontId="4" fillId="2" borderId="133" xfId="0" applyFont="1" applyFill="1" applyBorder="1" applyAlignment="1">
      <alignment horizontal="center" vertical="center"/>
    </xf>
    <xf numFmtId="178" fontId="4" fillId="4" borderId="12" xfId="0" applyNumberFormat="1" applyFont="1" applyFill="1" applyBorder="1" applyAlignment="1" applyProtection="1">
      <alignment horizontal="center" vertical="center"/>
      <protection locked="0"/>
    </xf>
    <xf numFmtId="178" fontId="4" fillId="4" borderId="13" xfId="0" applyNumberFormat="1" applyFont="1" applyFill="1" applyBorder="1" applyAlignment="1" applyProtection="1">
      <alignment horizontal="center" vertical="center"/>
      <protection locked="0"/>
    </xf>
    <xf numFmtId="24" fontId="4" fillId="4" borderId="24" xfId="0" applyNumberFormat="1" applyFont="1" applyFill="1" applyBorder="1" applyAlignment="1" applyProtection="1">
      <alignment horizontal="center" vertical="center"/>
      <protection locked="0"/>
    </xf>
    <xf numFmtId="24" fontId="4" fillId="4" borderId="69" xfId="0" applyNumberFormat="1" applyFont="1" applyFill="1" applyBorder="1" applyAlignment="1" applyProtection="1">
      <alignment horizontal="center" vertical="center"/>
      <protection locked="0"/>
    </xf>
    <xf numFmtId="24" fontId="4" fillId="4" borderId="13" xfId="0" applyNumberFormat="1" applyFont="1" applyFill="1" applyBorder="1" applyAlignment="1" applyProtection="1">
      <alignment horizontal="center" vertical="center"/>
      <protection locked="0"/>
    </xf>
    <xf numFmtId="176" fontId="6" fillId="4" borderId="25" xfId="0" applyNumberFormat="1" applyFont="1" applyFill="1" applyBorder="1" applyAlignment="1">
      <alignment horizontal="right" vertical="center"/>
    </xf>
    <xf numFmtId="176" fontId="6" fillId="4" borderId="93" xfId="0" applyNumberFormat="1" applyFont="1" applyFill="1" applyBorder="1" applyAlignment="1">
      <alignment horizontal="right" vertical="center"/>
    </xf>
    <xf numFmtId="176" fontId="6" fillId="4" borderId="23" xfId="0" applyNumberFormat="1" applyFont="1" applyFill="1" applyBorder="1" applyAlignment="1">
      <alignment horizontal="right" vertical="center"/>
    </xf>
    <xf numFmtId="176" fontId="6" fillId="4" borderId="88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11" xfId="0" applyFont="1" applyFill="1" applyBorder="1" applyAlignment="1">
      <alignment horizontal="center" vertical="center"/>
    </xf>
    <xf numFmtId="180" fontId="4" fillId="4" borderId="113" xfId="0" applyNumberFormat="1" applyFont="1" applyFill="1" applyBorder="1" applyAlignment="1">
      <alignment horizontal="center" vertical="center"/>
    </xf>
    <xf numFmtId="180" fontId="4" fillId="4" borderId="114" xfId="0" applyNumberFormat="1" applyFont="1" applyFill="1" applyBorder="1" applyAlignment="1">
      <alignment horizontal="center" vertical="center"/>
    </xf>
    <xf numFmtId="191" fontId="6" fillId="4" borderId="24" xfId="1" applyNumberFormat="1" applyFont="1" applyFill="1" applyBorder="1" applyAlignment="1" applyProtection="1">
      <alignment horizontal="center" vertical="center"/>
      <protection locked="0"/>
    </xf>
    <xf numFmtId="191" fontId="6" fillId="4" borderId="13" xfId="1" applyNumberFormat="1" applyFont="1" applyFill="1" applyBorder="1" applyAlignment="1" applyProtection="1">
      <alignment horizontal="center" vertical="center"/>
      <protection locked="0"/>
    </xf>
    <xf numFmtId="182" fontId="6" fillId="4" borderId="23" xfId="0" applyNumberFormat="1" applyFont="1" applyFill="1" applyBorder="1" applyAlignment="1" applyProtection="1">
      <alignment horizontal="center" vertical="center"/>
      <protection locked="0"/>
    </xf>
    <xf numFmtId="182" fontId="6" fillId="4" borderId="63" xfId="0" applyNumberFormat="1" applyFont="1" applyFill="1" applyBorder="1" applyAlignment="1" applyProtection="1">
      <alignment horizontal="center" vertical="center"/>
      <protection locked="0"/>
    </xf>
    <xf numFmtId="191" fontId="6" fillId="4" borderId="110" xfId="1" applyNumberFormat="1" applyFont="1" applyFill="1" applyBorder="1" applyAlignment="1" applyProtection="1">
      <alignment horizontal="center" vertical="center"/>
      <protection locked="0"/>
    </xf>
    <xf numFmtId="191" fontId="6" fillId="4" borderId="37" xfId="1" applyNumberFormat="1" applyFont="1" applyFill="1" applyBorder="1" applyAlignment="1" applyProtection="1">
      <alignment horizontal="center" vertical="center"/>
      <protection locked="0"/>
    </xf>
    <xf numFmtId="183" fontId="4" fillId="4" borderId="91" xfId="2" applyNumberFormat="1" applyFont="1" applyFill="1" applyBorder="1" applyAlignment="1">
      <alignment horizontal="center" vertical="center"/>
    </xf>
    <xf numFmtId="182" fontId="4" fillId="4" borderId="91" xfId="0" applyNumberFormat="1" applyFont="1" applyFill="1" applyBorder="1" applyAlignment="1">
      <alignment horizontal="center" vertical="center"/>
    </xf>
    <xf numFmtId="180" fontId="4" fillId="4" borderId="20" xfId="0" applyNumberFormat="1" applyFont="1" applyFill="1" applyBorder="1" applyAlignment="1" applyProtection="1">
      <alignment horizontal="center" vertical="center"/>
      <protection locked="0"/>
    </xf>
    <xf numFmtId="191" fontId="6" fillId="4" borderId="23" xfId="1" applyNumberFormat="1" applyFont="1" applyFill="1" applyBorder="1" applyAlignment="1" applyProtection="1">
      <alignment horizontal="center" vertical="center"/>
      <protection locked="0"/>
    </xf>
    <xf numFmtId="191" fontId="6" fillId="4" borderId="22" xfId="1" applyNumberFormat="1" applyFont="1" applyFill="1" applyBorder="1" applyAlignment="1" applyProtection="1">
      <alignment horizontal="center" vertical="center"/>
      <protection locked="0"/>
    </xf>
    <xf numFmtId="180" fontId="4" fillId="3" borderId="32" xfId="0" applyNumberFormat="1" applyFont="1" applyFill="1" applyBorder="1" applyAlignment="1">
      <alignment horizontal="center" vertical="center"/>
    </xf>
    <xf numFmtId="180" fontId="4" fillId="3" borderId="71" xfId="0" applyNumberFormat="1" applyFont="1" applyFill="1" applyBorder="1" applyAlignment="1">
      <alignment horizontal="center" vertical="center"/>
    </xf>
    <xf numFmtId="180" fontId="4" fillId="3" borderId="72" xfId="0" applyNumberFormat="1" applyFont="1" applyFill="1" applyBorder="1" applyAlignment="1">
      <alignment horizontal="center" vertical="center"/>
    </xf>
    <xf numFmtId="180" fontId="4" fillId="3" borderId="73" xfId="0" applyNumberFormat="1" applyFont="1" applyFill="1" applyBorder="1" applyAlignment="1">
      <alignment horizontal="center" vertical="center"/>
    </xf>
    <xf numFmtId="180" fontId="4" fillId="3" borderId="74" xfId="0" applyNumberFormat="1" applyFont="1" applyFill="1" applyBorder="1" applyAlignment="1">
      <alignment horizontal="center" vertical="center"/>
    </xf>
    <xf numFmtId="180" fontId="4" fillId="3" borderId="75" xfId="0" applyNumberFormat="1" applyFont="1" applyFill="1" applyBorder="1" applyAlignment="1">
      <alignment horizontal="center" vertical="center"/>
    </xf>
    <xf numFmtId="180" fontId="24" fillId="4" borderId="25" xfId="0" applyNumberFormat="1" applyFont="1" applyFill="1" applyBorder="1" applyAlignment="1" applyProtection="1">
      <alignment horizontal="center" vertical="center"/>
      <protection locked="0"/>
    </xf>
    <xf numFmtId="180" fontId="24" fillId="4" borderId="15" xfId="0" applyNumberFormat="1" applyFont="1" applyFill="1" applyBorder="1" applyAlignment="1" applyProtection="1">
      <alignment horizontal="center" vertical="center"/>
      <protection locked="0"/>
    </xf>
    <xf numFmtId="178" fontId="4" fillId="4" borderId="25" xfId="0" applyNumberFormat="1" applyFont="1" applyFill="1" applyBorder="1" applyAlignment="1" applyProtection="1">
      <alignment horizontal="center" vertical="center"/>
      <protection locked="0"/>
    </xf>
    <xf numFmtId="178" fontId="4" fillId="4" borderId="92" xfId="0" applyNumberFormat="1" applyFont="1" applyFill="1" applyBorder="1" applyAlignment="1" applyProtection="1">
      <alignment horizontal="center" vertical="center"/>
      <protection locked="0"/>
    </xf>
    <xf numFmtId="178" fontId="4" fillId="4" borderId="23" xfId="0" applyNumberFormat="1" applyFont="1" applyFill="1" applyBorder="1" applyAlignment="1" applyProtection="1">
      <alignment horizontal="center" vertical="center"/>
      <protection locked="0"/>
    </xf>
    <xf numFmtId="178" fontId="4" fillId="4" borderId="63" xfId="0" applyNumberFormat="1" applyFont="1" applyFill="1" applyBorder="1" applyAlignment="1" applyProtection="1">
      <alignment horizontal="center" vertical="center"/>
      <protection locked="0"/>
    </xf>
    <xf numFmtId="178" fontId="4" fillId="4" borderId="22" xfId="0" applyNumberFormat="1" applyFont="1" applyFill="1" applyBorder="1" applyAlignment="1" applyProtection="1">
      <alignment horizontal="center" vertical="center"/>
      <protection locked="0"/>
    </xf>
    <xf numFmtId="180" fontId="24" fillId="4" borderId="23" xfId="0" applyNumberFormat="1" applyFont="1" applyFill="1" applyBorder="1" applyAlignment="1" applyProtection="1">
      <alignment horizontal="center" vertical="center"/>
      <protection locked="0"/>
    </xf>
    <xf numFmtId="180" fontId="24" fillId="4" borderId="22" xfId="0" applyNumberFormat="1" applyFont="1" applyFill="1" applyBorder="1" applyAlignment="1" applyProtection="1">
      <alignment horizontal="center" vertical="center"/>
      <protection locked="0"/>
    </xf>
    <xf numFmtId="183" fontId="4" fillId="4" borderId="23" xfId="2" applyNumberFormat="1" applyFont="1" applyFill="1" applyBorder="1" applyAlignment="1">
      <alignment horizontal="center" vertical="center"/>
    </xf>
    <xf numFmtId="183" fontId="4" fillId="4" borderId="65" xfId="2" applyNumberFormat="1" applyFont="1" applyFill="1" applyBorder="1" applyAlignment="1">
      <alignment horizontal="center" vertical="center"/>
    </xf>
    <xf numFmtId="183" fontId="24" fillId="4" borderId="25" xfId="2" applyNumberFormat="1" applyFont="1" applyFill="1" applyBorder="1" applyAlignment="1">
      <alignment horizontal="center" vertical="center"/>
    </xf>
    <xf numFmtId="183" fontId="24" fillId="4" borderId="91" xfId="2" applyNumberFormat="1" applyFont="1" applyFill="1" applyBorder="1" applyAlignment="1">
      <alignment horizontal="center" vertical="center"/>
    </xf>
    <xf numFmtId="180" fontId="4" fillId="4" borderId="25" xfId="0" applyNumberFormat="1" applyFont="1" applyFill="1" applyBorder="1" applyAlignment="1">
      <alignment horizontal="center" vertical="center"/>
    </xf>
    <xf numFmtId="180" fontId="4" fillId="4" borderId="92" xfId="0" applyNumberFormat="1" applyFont="1" applyFill="1" applyBorder="1" applyAlignment="1">
      <alignment horizontal="center" vertical="center"/>
    </xf>
    <xf numFmtId="181" fontId="6" fillId="4" borderId="25" xfId="0" applyNumberFormat="1" applyFont="1" applyFill="1" applyBorder="1" applyAlignment="1" applyProtection="1">
      <alignment horizontal="center" vertical="center"/>
      <protection locked="0"/>
    </xf>
    <xf numFmtId="181" fontId="6" fillId="4" borderId="15" xfId="0" applyNumberFormat="1" applyFont="1" applyFill="1" applyBorder="1" applyAlignment="1" applyProtection="1">
      <alignment horizontal="center" vertical="center"/>
      <protection locked="0"/>
    </xf>
    <xf numFmtId="186" fontId="4" fillId="4" borderId="106" xfId="0" applyNumberFormat="1" applyFont="1" applyFill="1" applyBorder="1" applyAlignment="1">
      <alignment horizontal="center" vertical="center"/>
    </xf>
    <xf numFmtId="186" fontId="4" fillId="4" borderId="107" xfId="0" applyNumberFormat="1" applyFont="1" applyFill="1" applyBorder="1" applyAlignment="1">
      <alignment horizontal="center" vertical="center"/>
    </xf>
    <xf numFmtId="180" fontId="4" fillId="4" borderId="24" xfId="0" applyNumberFormat="1" applyFont="1" applyFill="1" applyBorder="1" applyAlignment="1">
      <alignment horizontal="center" vertical="center"/>
    </xf>
    <xf numFmtId="180" fontId="4" fillId="4" borderId="69" xfId="0" applyNumberFormat="1" applyFont="1" applyFill="1" applyBorder="1" applyAlignment="1">
      <alignment horizontal="center" vertical="center"/>
    </xf>
    <xf numFmtId="181" fontId="6" fillId="4" borderId="106" xfId="0" applyNumberFormat="1" applyFont="1" applyFill="1" applyBorder="1" applyAlignment="1" applyProtection="1">
      <alignment horizontal="center" vertical="center"/>
      <protection locked="0"/>
    </xf>
    <xf numFmtId="181" fontId="6" fillId="4" borderId="109" xfId="0" applyNumberFormat="1" applyFont="1" applyFill="1" applyBorder="1" applyAlignment="1" applyProtection="1">
      <alignment horizontal="center" vertical="center"/>
      <protection locked="0"/>
    </xf>
    <xf numFmtId="186" fontId="4" fillId="4" borderId="24" xfId="0" applyNumberFormat="1" applyFont="1" applyFill="1" applyBorder="1" applyAlignment="1">
      <alignment horizontal="center" vertical="center"/>
    </xf>
    <xf numFmtId="186" fontId="4" fillId="4" borderId="69" xfId="0" applyNumberFormat="1" applyFont="1" applyFill="1" applyBorder="1" applyAlignment="1">
      <alignment horizontal="center" vertical="center"/>
    </xf>
    <xf numFmtId="182" fontId="6" fillId="4" borderId="24" xfId="0" applyNumberFormat="1" applyFont="1" applyFill="1" applyBorder="1" applyAlignment="1" applyProtection="1">
      <alignment horizontal="center" vertical="center"/>
      <protection locked="0"/>
    </xf>
    <xf numFmtId="182" fontId="6" fillId="4" borderId="69" xfId="0" applyNumberFormat="1" applyFont="1" applyFill="1" applyBorder="1" applyAlignment="1" applyProtection="1">
      <alignment horizontal="center" vertical="center"/>
      <protection locked="0"/>
    </xf>
    <xf numFmtId="193" fontId="6" fillId="4" borderId="110" xfId="0" applyNumberFormat="1" applyFont="1" applyFill="1" applyBorder="1" applyAlignment="1" applyProtection="1">
      <alignment horizontal="center" vertical="center"/>
      <protection locked="0"/>
    </xf>
    <xf numFmtId="193" fontId="6" fillId="4" borderId="37" xfId="0" applyNumberFormat="1" applyFont="1" applyFill="1" applyBorder="1" applyAlignment="1" applyProtection="1">
      <alignment horizontal="center" vertical="center"/>
      <protection locked="0"/>
    </xf>
    <xf numFmtId="181" fontId="6" fillId="4" borderId="24" xfId="0" applyNumberFormat="1" applyFont="1" applyFill="1" applyBorder="1" applyAlignment="1" applyProtection="1">
      <alignment horizontal="center" vertical="center"/>
      <protection locked="0"/>
    </xf>
    <xf numFmtId="181" fontId="6" fillId="4" borderId="13" xfId="0" applyNumberFormat="1" applyFont="1" applyFill="1" applyBorder="1" applyAlignment="1" applyProtection="1">
      <alignment horizontal="center" vertical="center"/>
      <protection locked="0"/>
    </xf>
    <xf numFmtId="180" fontId="4" fillId="4" borderId="94" xfId="0" applyNumberFormat="1" applyFont="1" applyFill="1" applyBorder="1" applyAlignment="1">
      <alignment horizontal="center" vertical="center"/>
    </xf>
    <xf numFmtId="180" fontId="4" fillId="4" borderId="108" xfId="0" applyNumberFormat="1" applyFont="1" applyFill="1" applyBorder="1" applyAlignment="1">
      <alignment horizontal="center" vertical="center"/>
    </xf>
    <xf numFmtId="178" fontId="4" fillId="4" borderId="17" xfId="0" applyNumberFormat="1" applyFont="1" applyFill="1" applyBorder="1" applyAlignment="1" applyProtection="1">
      <alignment horizontal="center" vertical="center"/>
      <protection locked="0"/>
    </xf>
    <xf numFmtId="181" fontId="4" fillId="2" borderId="23" xfId="0" applyNumberFormat="1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181" fontId="4" fillId="2" borderId="139" xfId="0" applyNumberFormat="1" applyFont="1" applyFill="1" applyBorder="1" applyAlignment="1">
      <alignment horizontal="center" vertical="center"/>
    </xf>
    <xf numFmtId="182" fontId="4" fillId="4" borderId="39" xfId="0" applyNumberFormat="1" applyFont="1" applyFill="1" applyBorder="1" applyAlignment="1" applyProtection="1">
      <alignment horizontal="center" vertical="center"/>
      <protection locked="0"/>
    </xf>
    <xf numFmtId="181" fontId="4" fillId="2" borderId="65" xfId="0" applyNumberFormat="1" applyFont="1" applyFill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181" fontId="4" fillId="2" borderId="138" xfId="0" applyNumberFormat="1" applyFont="1" applyFill="1" applyBorder="1" applyAlignment="1">
      <alignment horizontal="center" vertical="center"/>
    </xf>
    <xf numFmtId="181" fontId="4" fillId="2" borderId="140" xfId="0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 applyProtection="1">
      <alignment horizontal="center" vertical="center"/>
      <protection locked="0"/>
    </xf>
    <xf numFmtId="0" fontId="4" fillId="4" borderId="69" xfId="0" applyFont="1" applyFill="1" applyBorder="1" applyAlignment="1" applyProtection="1">
      <alignment horizontal="center" vertical="center"/>
      <protection locked="0"/>
    </xf>
    <xf numFmtId="181" fontId="4" fillId="4" borderId="163" xfId="2" applyNumberFormat="1" applyFont="1" applyFill="1" applyBorder="1" applyAlignment="1">
      <alignment horizontal="center" vertical="center"/>
    </xf>
    <xf numFmtId="181" fontId="4" fillId="4" borderId="121" xfId="2" applyNumberFormat="1" applyFont="1" applyFill="1" applyBorder="1" applyAlignment="1">
      <alignment horizontal="center" vertical="center"/>
    </xf>
    <xf numFmtId="182" fontId="4" fillId="4" borderId="23" xfId="0" applyNumberFormat="1" applyFont="1" applyFill="1" applyBorder="1" applyAlignment="1">
      <alignment horizontal="center" vertical="center"/>
    </xf>
    <xf numFmtId="182" fontId="4" fillId="4" borderId="65" xfId="0" applyNumberFormat="1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 textRotation="255" wrapText="1"/>
    </xf>
    <xf numFmtId="0" fontId="4" fillId="6" borderId="54" xfId="0" applyFont="1" applyFill="1" applyBorder="1" applyAlignment="1">
      <alignment horizontal="center" vertical="center" textRotation="255" wrapText="1"/>
    </xf>
    <xf numFmtId="0" fontId="4" fillId="6" borderId="55" xfId="0" applyFont="1" applyFill="1" applyBorder="1" applyAlignment="1">
      <alignment horizontal="center" vertical="center" textRotation="255" wrapText="1"/>
    </xf>
    <xf numFmtId="0" fontId="4" fillId="2" borderId="99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63" xfId="0" applyFont="1" applyFill="1" applyBorder="1" applyAlignment="1">
      <alignment horizontal="center" vertical="center"/>
    </xf>
    <xf numFmtId="0" fontId="5" fillId="2" borderId="97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4" borderId="25" xfId="0" applyFont="1" applyFill="1" applyBorder="1" applyAlignment="1" applyProtection="1">
      <alignment horizontal="center" vertical="center"/>
      <protection locked="0"/>
    </xf>
    <xf numFmtId="0" fontId="4" fillId="4" borderId="92" xfId="0" applyFont="1" applyFill="1" applyBorder="1" applyAlignment="1" applyProtection="1">
      <alignment horizontal="center" vertical="center"/>
      <protection locked="0"/>
    </xf>
    <xf numFmtId="0" fontId="4" fillId="4" borderId="25" xfId="0" applyFont="1" applyFill="1" applyBorder="1" applyAlignment="1">
      <alignment horizontal="center" vertical="center"/>
    </xf>
    <xf numFmtId="0" fontId="4" fillId="4" borderId="92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181" fontId="4" fillId="4" borderId="117" xfId="2" applyNumberFormat="1" applyFont="1" applyFill="1" applyBorder="1" applyAlignment="1">
      <alignment horizontal="center" vertical="center"/>
    </xf>
    <xf numFmtId="181" fontId="4" fillId="4" borderId="118" xfId="2" applyNumberFormat="1" applyFont="1" applyFill="1" applyBorder="1" applyAlignment="1">
      <alignment horizontal="center" vertical="center"/>
    </xf>
    <xf numFmtId="183" fontId="4" fillId="4" borderId="88" xfId="2" applyNumberFormat="1" applyFont="1" applyFill="1" applyBorder="1" applyAlignment="1">
      <alignment horizontal="center" vertical="center"/>
    </xf>
    <xf numFmtId="0" fontId="4" fillId="4" borderId="134" xfId="0" applyFont="1" applyFill="1" applyBorder="1" applyAlignment="1">
      <alignment horizontal="center" vertical="center"/>
    </xf>
    <xf numFmtId="0" fontId="4" fillId="4" borderId="136" xfId="0" applyFont="1" applyFill="1" applyBorder="1" applyAlignment="1">
      <alignment horizontal="center" vertical="center"/>
    </xf>
    <xf numFmtId="192" fontId="5" fillId="4" borderId="134" xfId="0" applyNumberFormat="1" applyFont="1" applyFill="1" applyBorder="1" applyAlignment="1">
      <alignment horizontal="left" vertical="center"/>
    </xf>
    <xf numFmtId="192" fontId="5" fillId="4" borderId="136" xfId="0" applyNumberFormat="1" applyFont="1" applyFill="1" applyBorder="1" applyAlignment="1">
      <alignment horizontal="left" vertical="center"/>
    </xf>
    <xf numFmtId="192" fontId="5" fillId="4" borderId="135" xfId="0" applyNumberFormat="1" applyFont="1" applyFill="1" applyBorder="1" applyAlignment="1">
      <alignment horizontal="left" vertical="center"/>
    </xf>
    <xf numFmtId="0" fontId="4" fillId="2" borderId="126" xfId="0" applyFont="1" applyFill="1" applyBorder="1" applyAlignment="1">
      <alignment horizontal="center" vertical="center"/>
    </xf>
    <xf numFmtId="0" fontId="4" fillId="2" borderId="127" xfId="0" applyFont="1" applyFill="1" applyBorder="1" applyAlignment="1">
      <alignment horizontal="center" vertical="center"/>
    </xf>
    <xf numFmtId="0" fontId="4" fillId="3" borderId="128" xfId="0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2" borderId="128" xfId="0" applyFont="1" applyFill="1" applyBorder="1" applyAlignment="1">
      <alignment horizontal="center" vertical="center"/>
    </xf>
    <xf numFmtId="0" fontId="4" fillId="2" borderId="129" xfId="0" applyFont="1" applyFill="1" applyBorder="1" applyAlignment="1">
      <alignment horizontal="center" vertical="center"/>
    </xf>
    <xf numFmtId="0" fontId="4" fillId="5" borderId="123" xfId="0" applyFont="1" applyFill="1" applyBorder="1" applyAlignment="1">
      <alignment horizontal="center" vertical="center"/>
    </xf>
    <xf numFmtId="0" fontId="4" fillId="5" borderId="124" xfId="0" applyFont="1" applyFill="1" applyBorder="1" applyAlignment="1">
      <alignment horizontal="center" vertical="center"/>
    </xf>
    <xf numFmtId="0" fontId="4" fillId="3" borderId="119" xfId="0" applyFont="1" applyFill="1" applyBorder="1" applyAlignment="1" applyProtection="1">
      <alignment horizontal="center" vertical="center"/>
      <protection locked="0"/>
    </xf>
    <xf numFmtId="0" fontId="10" fillId="3" borderId="133" xfId="0" applyFont="1" applyFill="1" applyBorder="1" applyAlignment="1" applyProtection="1">
      <alignment horizontal="center" vertical="center"/>
      <protection locked="0"/>
    </xf>
    <xf numFmtId="0" fontId="4" fillId="4" borderId="51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4" fillId="2" borderId="120" xfId="0" applyFont="1" applyFill="1" applyBorder="1" applyAlignment="1">
      <alignment horizontal="center" vertical="center"/>
    </xf>
    <xf numFmtId="0" fontId="4" fillId="5" borderId="56" xfId="0" applyFont="1" applyFill="1" applyBorder="1" applyAlignment="1">
      <alignment horizontal="center" vertical="center"/>
    </xf>
    <xf numFmtId="0" fontId="4" fillId="5" borderId="161" xfId="0" applyFont="1" applyFill="1" applyBorder="1" applyAlignment="1">
      <alignment horizontal="center" vertical="center"/>
    </xf>
    <xf numFmtId="0" fontId="4" fillId="5" borderId="162" xfId="0" applyFont="1" applyFill="1" applyBorder="1" applyAlignment="1">
      <alignment horizontal="center" vertical="center"/>
    </xf>
    <xf numFmtId="0" fontId="4" fillId="5" borderId="125" xfId="0" applyFont="1" applyFill="1" applyBorder="1" applyAlignment="1">
      <alignment horizontal="center" vertical="center"/>
    </xf>
    <xf numFmtId="0" fontId="4" fillId="4" borderId="128" xfId="0" applyFont="1" applyFill="1" applyBorder="1" applyAlignment="1" applyProtection="1">
      <alignment horizontal="center" vertical="center" wrapText="1"/>
      <protection locked="0"/>
    </xf>
    <xf numFmtId="0" fontId="4" fillId="4" borderId="129" xfId="0" applyFont="1" applyFill="1" applyBorder="1" applyAlignment="1" applyProtection="1">
      <alignment horizontal="center" vertical="center" wrapText="1"/>
      <protection locked="0"/>
    </xf>
    <xf numFmtId="0" fontId="4" fillId="2" borderId="130" xfId="0" applyFont="1" applyFill="1" applyBorder="1" applyAlignment="1">
      <alignment horizontal="center" vertical="center"/>
    </xf>
    <xf numFmtId="0" fontId="4" fillId="4" borderId="128" xfId="0" applyFont="1" applyFill="1" applyBorder="1" applyAlignment="1">
      <alignment horizontal="center" vertical="center" wrapText="1"/>
    </xf>
    <xf numFmtId="0" fontId="4" fillId="4" borderId="129" xfId="0" applyFont="1" applyFill="1" applyBorder="1" applyAlignment="1">
      <alignment horizontal="center" vertical="center" wrapText="1"/>
    </xf>
    <xf numFmtId="0" fontId="4" fillId="4" borderId="130" xfId="0" applyFont="1" applyFill="1" applyBorder="1" applyAlignment="1">
      <alignment horizontal="center" vertical="center" wrapText="1"/>
    </xf>
    <xf numFmtId="181" fontId="4" fillId="4" borderId="115" xfId="2" applyNumberFormat="1" applyFont="1" applyFill="1" applyBorder="1" applyAlignment="1">
      <alignment horizontal="center" vertical="center"/>
    </xf>
    <xf numFmtId="181" fontId="4" fillId="4" borderId="116" xfId="2" applyNumberFormat="1" applyFont="1" applyFill="1" applyBorder="1" applyAlignment="1">
      <alignment horizontal="center" vertical="center"/>
    </xf>
    <xf numFmtId="0" fontId="4" fillId="2" borderId="132" xfId="0" applyFont="1" applyFill="1" applyBorder="1" applyAlignment="1">
      <alignment horizontal="center" vertical="center"/>
    </xf>
    <xf numFmtId="199" fontId="5" fillId="5" borderId="47" xfId="0" applyNumberFormat="1" applyFont="1" applyFill="1" applyBorder="1" applyAlignment="1">
      <alignment horizontal="center" vertical="center"/>
    </xf>
    <xf numFmtId="188" fontId="4" fillId="3" borderId="133" xfId="0" applyNumberFormat="1" applyFont="1" applyFill="1" applyBorder="1" applyAlignment="1" applyProtection="1">
      <alignment horizontal="center" vertical="center"/>
      <protection locked="0"/>
    </xf>
    <xf numFmtId="0" fontId="4" fillId="4" borderId="23" xfId="0" applyFont="1" applyFill="1" applyBorder="1" applyAlignment="1" applyProtection="1">
      <alignment horizontal="center" vertical="center"/>
      <protection locked="0"/>
    </xf>
    <xf numFmtId="0" fontId="4" fillId="4" borderId="63" xfId="0" applyFont="1" applyFill="1" applyBorder="1" applyAlignment="1" applyProtection="1">
      <alignment horizontal="center" vertical="center"/>
      <protection locked="0"/>
    </xf>
    <xf numFmtId="180" fontId="4" fillId="4" borderId="33" xfId="0" applyNumberFormat="1" applyFont="1" applyFill="1" applyBorder="1" applyAlignment="1">
      <alignment horizontal="center" vertical="center"/>
    </xf>
    <xf numFmtId="180" fontId="4" fillId="4" borderId="112" xfId="0" applyNumberFormat="1" applyFont="1" applyFill="1" applyBorder="1" applyAlignment="1">
      <alignment horizontal="center" vertical="center"/>
    </xf>
    <xf numFmtId="182" fontId="4" fillId="4" borderId="24" xfId="0" applyNumberFormat="1" applyFont="1" applyFill="1" applyBorder="1" applyAlignment="1">
      <alignment horizontal="center" vertical="center"/>
    </xf>
    <xf numFmtId="182" fontId="4" fillId="4" borderId="68" xfId="0" applyNumberFormat="1" applyFont="1" applyFill="1" applyBorder="1" applyAlignment="1">
      <alignment horizontal="center" vertical="center"/>
    </xf>
  </cellXfs>
  <cellStyles count="6">
    <cellStyle name="백분율" xfId="3" builtinId="5"/>
    <cellStyle name="쉼표" xfId="1" builtinId="3"/>
    <cellStyle name="쉼표 [0]" xfId="5" builtinId="6"/>
    <cellStyle name="통화" xfId="2" builtinId="4"/>
    <cellStyle name="표준" xfId="0" builtinId="0"/>
    <cellStyle name="표준 2" xfId="4" xr:uid="{00000000-0005-0000-0000-000005000000}"/>
  </cellStyles>
  <dxfs count="0"/>
  <tableStyles count="0" defaultTableStyle="TableStyleMedium2" defaultPivotStyle="PivotStyleLight16"/>
  <colors>
    <mruColors>
      <color rgb="FF00FF00"/>
      <color rgb="FFCCFFFF"/>
      <color rgb="FFFF99FF"/>
      <color rgb="FFCC99FF"/>
      <color rgb="FF66FF33"/>
      <color rgb="FF66FF99"/>
      <color rgb="FF0000CC"/>
      <color rgb="FF13FD07"/>
      <color rgb="FF3333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87E8ED"/>
    <pageSetUpPr fitToPage="1"/>
  </sheetPr>
  <dimension ref="A1:AF93"/>
  <sheetViews>
    <sheetView showGridLines="0" tabSelected="1" zoomScaleNormal="100" workbookViewId="0">
      <pane ySplit="4" topLeftCell="A65" activePane="bottomLeft" state="frozen"/>
      <selection activeCell="AA1" sqref="AA1"/>
      <selection pane="bottomLeft" activeCell="H72" sqref="H72:I72"/>
    </sheetView>
  </sheetViews>
  <sheetFormatPr defaultColWidth="6.25" defaultRowHeight="16.5"/>
  <cols>
    <col min="1" max="1" width="5.25" style="21" customWidth="1"/>
    <col min="2" max="2" width="5.75" style="21" customWidth="1"/>
    <col min="3" max="3" width="15.75" style="21" customWidth="1"/>
    <col min="4" max="7" width="7.25" style="21" customWidth="1"/>
    <col min="8" max="8" width="8.375" style="21" customWidth="1"/>
    <col min="9" max="9" width="8.25" style="21" customWidth="1"/>
    <col min="10" max="10" width="6.25" style="21" customWidth="1"/>
    <col min="11" max="11" width="4.125" style="21" customWidth="1"/>
    <col min="12" max="12" width="11.625" style="21" customWidth="1"/>
    <col min="13" max="13" width="9.625" style="21" customWidth="1"/>
    <col min="14" max="14" width="6.375" style="21" customWidth="1"/>
    <col min="15" max="15" width="11.125" style="21" customWidth="1"/>
    <col min="16" max="16" width="13.625" style="21" customWidth="1"/>
    <col min="17" max="17" width="4.5" style="21" customWidth="1"/>
    <col min="18" max="18" width="8.375" style="21" customWidth="1"/>
    <col min="19" max="19" width="12.125" style="21" customWidth="1"/>
    <col min="20" max="20" width="6.875" style="20" customWidth="1"/>
    <col min="21" max="25" width="6.375" style="21" customWidth="1"/>
    <col min="26" max="26" width="14.625" style="21" customWidth="1"/>
    <col min="27" max="27" width="6.375" style="21" customWidth="1"/>
    <col min="28" max="28" width="10.125" style="21" customWidth="1"/>
    <col min="29" max="29" width="9.75" style="21" customWidth="1"/>
    <col min="30" max="30" width="6.375" style="21" customWidth="1"/>
    <col min="31" max="31" width="7.125" style="21" customWidth="1"/>
    <col min="32" max="32" width="6.375" style="21" customWidth="1"/>
    <col min="33" max="16384" width="6.25" style="21"/>
  </cols>
  <sheetData>
    <row r="1" spans="1:32" ht="31.5" customHeight="1">
      <c r="A1" s="119" t="s">
        <v>89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8" t="s">
        <v>93</v>
      </c>
      <c r="Q1" s="19"/>
      <c r="R1" s="19"/>
      <c r="S1" s="19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</row>
    <row r="2" spans="1:32" s="8" customFormat="1" ht="15.75" customHeight="1" thickBot="1">
      <c r="A2" s="507" t="s">
        <v>70</v>
      </c>
      <c r="B2" s="508"/>
      <c r="C2" s="509"/>
      <c r="D2" s="510"/>
      <c r="E2" s="511"/>
      <c r="O2" s="7"/>
      <c r="P2" s="22">
        <v>11</v>
      </c>
      <c r="Q2" s="540">
        <v>26000</v>
      </c>
      <c r="R2" s="540"/>
      <c r="S2" s="540"/>
      <c r="T2" s="23"/>
      <c r="U2" s="113"/>
      <c r="V2" s="189"/>
      <c r="W2" s="189"/>
      <c r="X2" s="189"/>
      <c r="AF2" s="9"/>
    </row>
    <row r="3" spans="1:32" s="8" customFormat="1" ht="18" customHeight="1" thickTop="1">
      <c r="A3" s="512" t="s">
        <v>36</v>
      </c>
      <c r="B3" s="513"/>
      <c r="C3" s="514" t="s">
        <v>75</v>
      </c>
      <c r="D3" s="515"/>
      <c r="E3" s="516" t="s">
        <v>86</v>
      </c>
      <c r="F3" s="517"/>
      <c r="G3" s="531"/>
      <c r="H3" s="532"/>
      <c r="I3" s="532"/>
      <c r="J3" s="516" t="s">
        <v>38</v>
      </c>
      <c r="K3" s="517"/>
      <c r="L3" s="533"/>
      <c r="M3" s="534" t="s">
        <v>76</v>
      </c>
      <c r="N3" s="535"/>
      <c r="O3" s="536"/>
      <c r="P3" s="516" t="s">
        <v>84</v>
      </c>
      <c r="Q3" s="533"/>
      <c r="R3" s="123"/>
      <c r="S3" s="124"/>
      <c r="T3" s="24"/>
      <c r="U3" s="25"/>
      <c r="V3" s="26"/>
      <c r="W3" s="26"/>
      <c r="X3" s="13"/>
      <c r="Y3" s="13"/>
      <c r="Z3" s="27"/>
      <c r="AA3" s="27"/>
      <c r="AB3" s="27"/>
      <c r="AC3" s="13"/>
      <c r="AD3" s="13"/>
      <c r="AE3" s="14"/>
      <c r="AF3" s="14"/>
    </row>
    <row r="4" spans="1:32" s="8" customFormat="1" ht="18" customHeight="1" thickBot="1">
      <c r="A4" s="539" t="s">
        <v>39</v>
      </c>
      <c r="B4" s="411"/>
      <c r="C4" s="521"/>
      <c r="D4" s="521"/>
      <c r="E4" s="411" t="s">
        <v>1</v>
      </c>
      <c r="F4" s="411"/>
      <c r="G4" s="541"/>
      <c r="H4" s="541"/>
      <c r="I4" s="541"/>
      <c r="J4" s="405" t="s">
        <v>40</v>
      </c>
      <c r="K4" s="406"/>
      <c r="L4" s="407"/>
      <c r="M4" s="408"/>
      <c r="N4" s="409"/>
      <c r="O4" s="410"/>
      <c r="P4" s="411" t="s">
        <v>85</v>
      </c>
      <c r="Q4" s="411"/>
      <c r="R4" s="520"/>
      <c r="S4" s="520"/>
      <c r="T4" s="23"/>
      <c r="U4" s="112"/>
      <c r="V4" s="155"/>
      <c r="W4" s="155"/>
      <c r="X4" s="155"/>
      <c r="Y4" s="155"/>
      <c r="Z4" s="156"/>
      <c r="AA4" s="156"/>
      <c r="AB4" s="156"/>
      <c r="AC4" s="155"/>
      <c r="AD4" s="155"/>
      <c r="AE4" s="157"/>
      <c r="AF4" s="157"/>
    </row>
    <row r="5" spans="1:32" s="8" customFormat="1" ht="15" customHeight="1" thickTop="1" thickBot="1">
      <c r="A5" s="522"/>
      <c r="B5" s="522"/>
      <c r="C5" s="522"/>
      <c r="D5" s="522"/>
      <c r="E5" s="522"/>
      <c r="F5" s="522"/>
      <c r="G5" s="522"/>
      <c r="H5" s="522"/>
      <c r="I5" s="522"/>
      <c r="J5" s="522"/>
      <c r="K5" s="522"/>
      <c r="L5" s="522"/>
      <c r="M5" s="522"/>
      <c r="N5" s="522"/>
      <c r="O5" s="522"/>
      <c r="P5" s="522"/>
      <c r="Q5" s="522"/>
      <c r="R5" s="522"/>
      <c r="S5" s="522"/>
      <c r="T5" s="23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</row>
    <row r="6" spans="1:32" s="8" customFormat="1" ht="15" customHeight="1">
      <c r="A6" s="330" t="s">
        <v>49</v>
      </c>
      <c r="B6" s="523" t="s">
        <v>44</v>
      </c>
      <c r="C6" s="127" t="s">
        <v>2</v>
      </c>
      <c r="D6" s="287"/>
      <c r="E6" s="523" t="s">
        <v>45</v>
      </c>
      <c r="F6" s="525" t="s">
        <v>47</v>
      </c>
      <c r="G6" s="292"/>
      <c r="H6" s="292"/>
      <c r="I6" s="292"/>
      <c r="J6" s="292"/>
      <c r="K6" s="292"/>
      <c r="L6" s="526"/>
      <c r="M6" s="518" t="s">
        <v>54</v>
      </c>
      <c r="N6" s="519"/>
      <c r="O6" s="519"/>
      <c r="P6" s="527" t="s">
        <v>32</v>
      </c>
      <c r="Q6" s="528"/>
      <c r="R6" s="127" t="s">
        <v>41</v>
      </c>
      <c r="S6" s="128"/>
      <c r="T6" s="117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55"/>
      <c r="AF6" s="155"/>
    </row>
    <row r="7" spans="1:32" s="8" customFormat="1" ht="15" customHeight="1" thickBot="1">
      <c r="A7" s="378"/>
      <c r="B7" s="524"/>
      <c r="C7" s="129"/>
      <c r="D7" s="289"/>
      <c r="E7" s="524"/>
      <c r="F7" s="390" t="s">
        <v>48</v>
      </c>
      <c r="G7" s="265"/>
      <c r="H7" s="390" t="s">
        <v>46</v>
      </c>
      <c r="I7" s="279"/>
      <c r="J7" s="265" t="s">
        <v>50</v>
      </c>
      <c r="K7" s="265"/>
      <c r="L7" s="279"/>
      <c r="M7" s="421" t="s">
        <v>33</v>
      </c>
      <c r="N7" s="422"/>
      <c r="O7" s="103" t="s">
        <v>50</v>
      </c>
      <c r="P7" s="529"/>
      <c r="Q7" s="530"/>
      <c r="R7" s="129"/>
      <c r="S7" s="130"/>
      <c r="T7" s="117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61"/>
      <c r="AF7" s="161"/>
    </row>
    <row r="8" spans="1:32" s="8" customFormat="1" ht="15" customHeight="1" thickTop="1">
      <c r="A8" s="378"/>
      <c r="B8" s="28"/>
      <c r="C8" s="484" t="s">
        <v>95</v>
      </c>
      <c r="D8" s="485"/>
      <c r="E8" s="29"/>
      <c r="F8" s="398"/>
      <c r="G8" s="399"/>
      <c r="H8" s="400"/>
      <c r="I8" s="401"/>
      <c r="J8" s="402"/>
      <c r="K8" s="402"/>
      <c r="L8" s="401"/>
      <c r="M8" s="403"/>
      <c r="N8" s="404"/>
      <c r="O8" s="30"/>
      <c r="P8" s="396">
        <f>(F8+H8)*E8*M8+J8*E8*O8</f>
        <v>0</v>
      </c>
      <c r="Q8" s="397"/>
      <c r="R8" s="131">
        <v>0</v>
      </c>
      <c r="S8" s="132"/>
      <c r="T8" s="23"/>
      <c r="U8" s="160"/>
      <c r="V8" s="160"/>
      <c r="W8" s="160"/>
      <c r="X8" s="160"/>
      <c r="Y8" s="160"/>
      <c r="Z8" s="10"/>
      <c r="AA8" s="160"/>
      <c r="AB8" s="160"/>
      <c r="AC8" s="160"/>
      <c r="AD8" s="16"/>
      <c r="AE8" s="161"/>
      <c r="AF8" s="161"/>
    </row>
    <row r="9" spans="1:32" s="8" customFormat="1" ht="15" customHeight="1">
      <c r="A9" s="378"/>
      <c r="B9" s="31"/>
      <c r="C9" s="499" t="s">
        <v>96</v>
      </c>
      <c r="D9" s="500"/>
      <c r="E9" s="32"/>
      <c r="F9" s="501"/>
      <c r="G9" s="502"/>
      <c r="H9" s="391"/>
      <c r="I9" s="392"/>
      <c r="J9" s="393"/>
      <c r="K9" s="393"/>
      <c r="L9" s="392"/>
      <c r="M9" s="394"/>
      <c r="N9" s="395"/>
      <c r="O9" s="33"/>
      <c r="P9" s="396">
        <f>(F9+H9)*E9*M9+J9*E9*O9</f>
        <v>0</v>
      </c>
      <c r="Q9" s="397"/>
      <c r="R9" s="417">
        <v>0</v>
      </c>
      <c r="S9" s="418"/>
      <c r="T9" s="23"/>
      <c r="U9" s="160"/>
      <c r="V9" s="160"/>
      <c r="W9" s="160"/>
      <c r="X9" s="160"/>
      <c r="Y9" s="160"/>
      <c r="Z9" s="10"/>
      <c r="AA9" s="160"/>
      <c r="AB9" s="160"/>
      <c r="AC9" s="160"/>
      <c r="AD9" s="16"/>
      <c r="AE9" s="161"/>
      <c r="AF9" s="161"/>
    </row>
    <row r="10" spans="1:32" s="8" customFormat="1" ht="15" customHeight="1" thickBot="1">
      <c r="A10" s="378"/>
      <c r="B10" s="31"/>
      <c r="C10" s="542"/>
      <c r="D10" s="543"/>
      <c r="E10" s="34"/>
      <c r="F10" s="494"/>
      <c r="G10" s="495"/>
      <c r="H10" s="503"/>
      <c r="I10" s="365"/>
      <c r="J10" s="364"/>
      <c r="K10" s="364"/>
      <c r="L10" s="365"/>
      <c r="M10" s="368"/>
      <c r="N10" s="369"/>
      <c r="O10" s="35"/>
      <c r="P10" s="125">
        <f>(F10+H10)*E10*M10+J10*E10*O10</f>
        <v>0</v>
      </c>
      <c r="Q10" s="126"/>
      <c r="R10" s="419">
        <v>0</v>
      </c>
      <c r="S10" s="420"/>
      <c r="T10" s="23"/>
      <c r="U10" s="160"/>
      <c r="V10" s="160"/>
      <c r="W10" s="160"/>
      <c r="X10" s="160"/>
      <c r="Y10" s="160"/>
      <c r="Z10" s="10"/>
      <c r="AA10" s="161"/>
      <c r="AB10" s="161"/>
      <c r="AC10" s="161"/>
      <c r="AD10" s="16"/>
      <c r="AE10" s="161"/>
      <c r="AF10" s="161"/>
    </row>
    <row r="11" spans="1:32" s="8" customFormat="1" ht="15" customHeight="1" thickTop="1">
      <c r="A11" s="378"/>
      <c r="B11" s="308" t="s">
        <v>51</v>
      </c>
      <c r="C11" s="309"/>
      <c r="D11" s="309"/>
      <c r="E11" s="309"/>
      <c r="F11" s="309"/>
      <c r="G11" s="309"/>
      <c r="H11" s="309"/>
      <c r="I11" s="544"/>
      <c r="J11" s="423"/>
      <c r="K11" s="423"/>
      <c r="L11" s="423"/>
      <c r="M11" s="423"/>
      <c r="N11" s="424"/>
      <c r="O11" s="36"/>
      <c r="P11" s="486">
        <f>SUM(P8:Q10)</f>
        <v>0</v>
      </c>
      <c r="Q11" s="487"/>
      <c r="R11" s="537">
        <f>SUM(R8:S10)</f>
        <v>0</v>
      </c>
      <c r="S11" s="538"/>
      <c r="T11" s="23"/>
      <c r="U11" s="160"/>
      <c r="V11" s="160"/>
      <c r="W11" s="160"/>
      <c r="X11" s="160"/>
      <c r="Y11" s="160"/>
      <c r="Z11" s="10"/>
      <c r="AA11" s="161"/>
      <c r="AB11" s="161"/>
      <c r="AC11" s="161"/>
      <c r="AD11" s="16"/>
      <c r="AE11" s="161"/>
      <c r="AF11" s="161"/>
    </row>
    <row r="12" spans="1:32" s="8" customFormat="1" ht="18" customHeight="1" thickBot="1">
      <c r="A12" s="379"/>
      <c r="B12" s="310"/>
      <c r="C12" s="311"/>
      <c r="D12" s="311"/>
      <c r="E12" s="311"/>
      <c r="F12" s="311"/>
      <c r="G12" s="311"/>
      <c r="H12" s="311"/>
      <c r="I12" s="545"/>
      <c r="J12" s="504">
        <f>P11</f>
        <v>0</v>
      </c>
      <c r="K12" s="504"/>
      <c r="L12" s="504"/>
      <c r="M12" s="504"/>
      <c r="N12" s="504"/>
      <c r="O12" s="504"/>
      <c r="P12" s="504"/>
      <c r="Q12" s="504"/>
      <c r="R12" s="504"/>
      <c r="S12" s="505"/>
      <c r="T12" s="23"/>
      <c r="U12" s="160"/>
      <c r="V12" s="160"/>
      <c r="W12" s="160"/>
      <c r="X12" s="160"/>
      <c r="Y12" s="160"/>
      <c r="Z12" s="10"/>
      <c r="AA12" s="161"/>
      <c r="AB12" s="161"/>
      <c r="AC12" s="161"/>
      <c r="AD12" s="16"/>
      <c r="AE12" s="161"/>
      <c r="AF12" s="161"/>
    </row>
    <row r="13" spans="1:32" s="8" customFormat="1" ht="15" customHeight="1" thickBot="1">
      <c r="A13" s="377"/>
      <c r="B13" s="377"/>
      <c r="C13" s="377"/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23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</row>
    <row r="14" spans="1:32" s="8" customFormat="1" ht="15" customHeight="1" thickBot="1">
      <c r="A14" s="490" t="s">
        <v>52</v>
      </c>
      <c r="B14" s="104" t="s">
        <v>44</v>
      </c>
      <c r="C14" s="496" t="s">
        <v>53</v>
      </c>
      <c r="D14" s="498"/>
      <c r="E14" s="17" t="s">
        <v>55</v>
      </c>
      <c r="F14" s="149" t="s">
        <v>54</v>
      </c>
      <c r="G14" s="144"/>
      <c r="H14" s="149" t="s">
        <v>80</v>
      </c>
      <c r="I14" s="493"/>
      <c r="J14" s="142" t="s">
        <v>44</v>
      </c>
      <c r="K14" s="144"/>
      <c r="L14" s="496" t="s">
        <v>53</v>
      </c>
      <c r="M14" s="497"/>
      <c r="N14" s="498"/>
      <c r="O14" s="17" t="s">
        <v>55</v>
      </c>
      <c r="P14" s="149" t="s">
        <v>54</v>
      </c>
      <c r="Q14" s="144"/>
      <c r="R14" s="149" t="s">
        <v>80</v>
      </c>
      <c r="S14" s="162"/>
      <c r="T14" s="23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</row>
    <row r="15" spans="1:32" s="8" customFormat="1" ht="15" customHeight="1" thickTop="1">
      <c r="A15" s="491"/>
      <c r="B15" s="37"/>
      <c r="C15" s="414"/>
      <c r="D15" s="416"/>
      <c r="E15" s="38"/>
      <c r="F15" s="425"/>
      <c r="G15" s="426"/>
      <c r="H15" s="546">
        <f>E15*F15</f>
        <v>0</v>
      </c>
      <c r="I15" s="547"/>
      <c r="J15" s="412"/>
      <c r="K15" s="413"/>
      <c r="L15" s="414"/>
      <c r="M15" s="415"/>
      <c r="N15" s="416"/>
      <c r="O15" s="39"/>
      <c r="P15" s="425"/>
      <c r="Q15" s="426"/>
      <c r="R15" s="151">
        <f>O15*P15</f>
        <v>0</v>
      </c>
      <c r="S15" s="152"/>
      <c r="T15" s="23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</row>
    <row r="16" spans="1:32" s="8" customFormat="1" ht="15" customHeight="1">
      <c r="A16" s="491"/>
      <c r="B16" s="40"/>
      <c r="C16" s="370"/>
      <c r="D16" s="372"/>
      <c r="E16" s="41"/>
      <c r="F16" s="429"/>
      <c r="G16" s="430"/>
      <c r="H16" s="302">
        <f>E16*F16</f>
        <v>0</v>
      </c>
      <c r="I16" s="432"/>
      <c r="J16" s="373"/>
      <c r="K16" s="374"/>
      <c r="L16" s="370"/>
      <c r="M16" s="371"/>
      <c r="N16" s="372"/>
      <c r="O16" s="42"/>
      <c r="P16" s="366"/>
      <c r="Q16" s="367"/>
      <c r="R16" s="147">
        <f>O16*P16</f>
        <v>0</v>
      </c>
      <c r="S16" s="148"/>
      <c r="T16" s="23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</row>
    <row r="17" spans="1:32" s="8" customFormat="1" ht="15" customHeight="1">
      <c r="A17" s="491"/>
      <c r="B17" s="40"/>
      <c r="C17" s="370"/>
      <c r="D17" s="372"/>
      <c r="E17" s="41"/>
      <c r="F17" s="429"/>
      <c r="G17" s="430"/>
      <c r="H17" s="302">
        <f t="shared" ref="H17:H20" si="0">E17*F17</f>
        <v>0</v>
      </c>
      <c r="I17" s="432"/>
      <c r="J17" s="373"/>
      <c r="K17" s="374"/>
      <c r="L17" s="370"/>
      <c r="M17" s="371"/>
      <c r="N17" s="372"/>
      <c r="O17" s="42"/>
      <c r="P17" s="366"/>
      <c r="Q17" s="367"/>
      <c r="R17" s="147">
        <f t="shared" ref="R17:R20" si="1">O17*P17</f>
        <v>0</v>
      </c>
      <c r="S17" s="148"/>
      <c r="T17" s="23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</row>
    <row r="18" spans="1:32" s="8" customFormat="1" ht="15" customHeight="1">
      <c r="A18" s="491"/>
      <c r="B18" s="40"/>
      <c r="C18" s="370"/>
      <c r="D18" s="372"/>
      <c r="E18" s="41"/>
      <c r="F18" s="429"/>
      <c r="G18" s="430"/>
      <c r="H18" s="302">
        <f t="shared" si="0"/>
        <v>0</v>
      </c>
      <c r="I18" s="432"/>
      <c r="J18" s="373"/>
      <c r="K18" s="374"/>
      <c r="L18" s="370"/>
      <c r="M18" s="371"/>
      <c r="N18" s="372"/>
      <c r="O18" s="42"/>
      <c r="P18" s="366"/>
      <c r="Q18" s="367"/>
      <c r="R18" s="147">
        <f t="shared" si="1"/>
        <v>0</v>
      </c>
      <c r="S18" s="148"/>
      <c r="T18" s="23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</row>
    <row r="19" spans="1:32" s="8" customFormat="1" ht="15" customHeight="1">
      <c r="A19" s="491"/>
      <c r="B19" s="40"/>
      <c r="C19" s="370"/>
      <c r="D19" s="372"/>
      <c r="E19" s="41"/>
      <c r="F19" s="429"/>
      <c r="G19" s="430"/>
      <c r="H19" s="302">
        <f t="shared" si="0"/>
        <v>0</v>
      </c>
      <c r="I19" s="432"/>
      <c r="J19" s="373"/>
      <c r="K19" s="374"/>
      <c r="L19" s="370"/>
      <c r="M19" s="371"/>
      <c r="N19" s="372"/>
      <c r="O19" s="42"/>
      <c r="P19" s="366"/>
      <c r="Q19" s="367"/>
      <c r="R19" s="147">
        <f t="shared" si="1"/>
        <v>0</v>
      </c>
      <c r="S19" s="148"/>
      <c r="T19" s="23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</row>
    <row r="20" spans="1:32" s="8" customFormat="1" ht="15" customHeight="1">
      <c r="A20" s="491"/>
      <c r="B20" s="40"/>
      <c r="C20" s="370"/>
      <c r="D20" s="372"/>
      <c r="E20" s="41"/>
      <c r="F20" s="429"/>
      <c r="G20" s="430"/>
      <c r="H20" s="302">
        <f t="shared" si="0"/>
        <v>0</v>
      </c>
      <c r="I20" s="432"/>
      <c r="J20" s="373"/>
      <c r="K20" s="374"/>
      <c r="L20" s="370"/>
      <c r="M20" s="371"/>
      <c r="N20" s="372"/>
      <c r="O20" s="42"/>
      <c r="P20" s="366"/>
      <c r="Q20" s="367"/>
      <c r="R20" s="147">
        <f t="shared" si="1"/>
        <v>0</v>
      </c>
      <c r="S20" s="148"/>
      <c r="T20" s="23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</row>
    <row r="21" spans="1:32" s="8" customFormat="1" ht="15" customHeight="1">
      <c r="A21" s="491"/>
      <c r="B21" s="40"/>
      <c r="C21" s="370"/>
      <c r="D21" s="372"/>
      <c r="E21" s="41"/>
      <c r="F21" s="366"/>
      <c r="G21" s="367"/>
      <c r="H21" s="302">
        <f>E21*F21</f>
        <v>0</v>
      </c>
      <c r="I21" s="432"/>
      <c r="J21" s="373"/>
      <c r="K21" s="374"/>
      <c r="L21" s="370"/>
      <c r="M21" s="371"/>
      <c r="N21" s="372"/>
      <c r="O21" s="43"/>
      <c r="P21" s="145"/>
      <c r="Q21" s="146"/>
      <c r="R21" s="147">
        <f>O21*P21</f>
        <v>0</v>
      </c>
      <c r="S21" s="148"/>
      <c r="T21" s="23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</row>
    <row r="22" spans="1:32" s="8" customFormat="1" ht="15" customHeight="1">
      <c r="A22" s="491"/>
      <c r="B22" s="40"/>
      <c r="C22" s="370"/>
      <c r="D22" s="372"/>
      <c r="E22" s="41"/>
      <c r="F22" s="429"/>
      <c r="G22" s="430"/>
      <c r="H22" s="302">
        <f>E22*F22</f>
        <v>0</v>
      </c>
      <c r="I22" s="432"/>
      <c r="J22" s="373"/>
      <c r="K22" s="374"/>
      <c r="L22" s="444"/>
      <c r="M22" s="445"/>
      <c r="N22" s="374"/>
      <c r="O22" s="43"/>
      <c r="P22" s="145"/>
      <c r="Q22" s="146"/>
      <c r="R22" s="147">
        <f>O22*P22</f>
        <v>0</v>
      </c>
      <c r="S22" s="148"/>
      <c r="T22" s="23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</row>
    <row r="23" spans="1:32" s="8" customFormat="1" ht="15" customHeight="1" thickBot="1">
      <c r="A23" s="491"/>
      <c r="B23" s="44"/>
      <c r="C23" s="370"/>
      <c r="D23" s="372"/>
      <c r="E23" s="45"/>
      <c r="F23" s="434"/>
      <c r="G23" s="435"/>
      <c r="H23" s="488">
        <f>E23*F23</f>
        <v>0</v>
      </c>
      <c r="I23" s="489"/>
      <c r="J23" s="475"/>
      <c r="K23" s="448"/>
      <c r="L23" s="446"/>
      <c r="M23" s="447"/>
      <c r="N23" s="448"/>
      <c r="O23" s="46"/>
      <c r="P23" s="145"/>
      <c r="Q23" s="146"/>
      <c r="R23" s="451">
        <f>O23*P23</f>
        <v>0</v>
      </c>
      <c r="S23" s="506"/>
      <c r="T23" s="23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</row>
    <row r="24" spans="1:32" s="8" customFormat="1" ht="15" customHeight="1" thickTop="1">
      <c r="A24" s="491"/>
      <c r="B24" s="436" t="s">
        <v>51</v>
      </c>
      <c r="C24" s="437"/>
      <c r="D24" s="437"/>
      <c r="E24" s="437"/>
      <c r="F24" s="437"/>
      <c r="G24" s="437"/>
      <c r="H24" s="437"/>
      <c r="I24" s="438"/>
      <c r="J24" s="375">
        <f>H15+H16+H17+H18+H19+H20+H21+H22+H23+R15+R16+R17+R18+R19+R20+R21+R22+R23</f>
        <v>0</v>
      </c>
      <c r="K24" s="375"/>
      <c r="L24" s="375"/>
      <c r="M24" s="375"/>
      <c r="N24" s="375"/>
      <c r="O24" s="375"/>
      <c r="P24" s="375"/>
      <c r="Q24" s="375"/>
      <c r="R24" s="375"/>
      <c r="S24" s="376"/>
      <c r="T24" s="23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</row>
    <row r="25" spans="1:32" s="8" customFormat="1" ht="18" customHeight="1" thickBot="1">
      <c r="A25" s="492"/>
      <c r="B25" s="439"/>
      <c r="C25" s="440"/>
      <c r="D25" s="440"/>
      <c r="E25" s="440"/>
      <c r="F25" s="440"/>
      <c r="G25" s="440"/>
      <c r="H25" s="440"/>
      <c r="I25" s="441"/>
      <c r="J25" s="313">
        <f>SUM(J24)/Q2</f>
        <v>0</v>
      </c>
      <c r="K25" s="313"/>
      <c r="L25" s="313"/>
      <c r="M25" s="313"/>
      <c r="N25" s="313"/>
      <c r="O25" s="313"/>
      <c r="P25" s="313"/>
      <c r="Q25" s="313"/>
      <c r="R25" s="313"/>
      <c r="S25" s="314"/>
      <c r="T25" s="23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</row>
    <row r="26" spans="1:32" s="8" customFormat="1" ht="15" customHeight="1" thickBot="1">
      <c r="A26" s="377"/>
      <c r="B26" s="377"/>
      <c r="C26" s="377"/>
      <c r="D26" s="377"/>
      <c r="E26" s="377"/>
      <c r="F26" s="377"/>
      <c r="G26" s="377"/>
      <c r="H26" s="377"/>
      <c r="I26" s="377"/>
      <c r="J26" s="377"/>
      <c r="K26" s="377"/>
      <c r="L26" s="377"/>
      <c r="M26" s="377"/>
      <c r="N26" s="377"/>
      <c r="O26" s="377"/>
      <c r="P26" s="377"/>
      <c r="Q26" s="377"/>
      <c r="R26" s="377"/>
      <c r="S26" s="377"/>
      <c r="T26" s="23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</row>
    <row r="27" spans="1:32" s="8" customFormat="1" ht="15" customHeight="1" thickBot="1">
      <c r="A27" s="330" t="s">
        <v>3</v>
      </c>
      <c r="B27" s="104" t="s">
        <v>44</v>
      </c>
      <c r="C27" s="149" t="s">
        <v>4</v>
      </c>
      <c r="D27" s="144"/>
      <c r="E27" s="17" t="s">
        <v>55</v>
      </c>
      <c r="F27" s="149" t="s">
        <v>54</v>
      </c>
      <c r="G27" s="144"/>
      <c r="H27" s="149" t="s">
        <v>80</v>
      </c>
      <c r="I27" s="493"/>
      <c r="J27" s="142" t="s">
        <v>44</v>
      </c>
      <c r="K27" s="144"/>
      <c r="L27" s="149" t="s">
        <v>5</v>
      </c>
      <c r="M27" s="143"/>
      <c r="N27" s="144"/>
      <c r="O27" s="105" t="s">
        <v>55</v>
      </c>
      <c r="P27" s="149" t="s">
        <v>54</v>
      </c>
      <c r="Q27" s="144"/>
      <c r="R27" s="149" t="s">
        <v>80</v>
      </c>
      <c r="S27" s="162"/>
      <c r="T27" s="23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</row>
    <row r="28" spans="1:32" s="8" customFormat="1" ht="15" customHeight="1" thickTop="1">
      <c r="A28" s="378"/>
      <c r="B28" s="37"/>
      <c r="C28" s="380"/>
      <c r="D28" s="381"/>
      <c r="E28" s="114"/>
      <c r="F28" s="386"/>
      <c r="G28" s="387"/>
      <c r="H28" s="151">
        <f t="shared" ref="H28:H36" si="2">E28*F28</f>
        <v>0</v>
      </c>
      <c r="I28" s="382"/>
      <c r="J28" s="412"/>
      <c r="K28" s="413"/>
      <c r="L28" s="383"/>
      <c r="M28" s="134"/>
      <c r="N28" s="135"/>
      <c r="O28" s="48"/>
      <c r="P28" s="384"/>
      <c r="Q28" s="385"/>
      <c r="R28" s="151">
        <f t="shared" ref="R28:R36" si="3">O28*P28</f>
        <v>0</v>
      </c>
      <c r="S28" s="152"/>
      <c r="T28" s="23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</row>
    <row r="29" spans="1:32" s="8" customFormat="1" ht="15" customHeight="1">
      <c r="A29" s="378"/>
      <c r="B29" s="40"/>
      <c r="C29" s="442"/>
      <c r="D29" s="443"/>
      <c r="E29" s="114"/>
      <c r="F29" s="386"/>
      <c r="G29" s="387"/>
      <c r="H29" s="147">
        <f t="shared" si="2"/>
        <v>0</v>
      </c>
      <c r="I29" s="431"/>
      <c r="J29" s="373"/>
      <c r="K29" s="374"/>
      <c r="L29" s="150"/>
      <c r="M29" s="137"/>
      <c r="N29" s="138"/>
      <c r="O29" s="49"/>
      <c r="P29" s="388"/>
      <c r="Q29" s="389"/>
      <c r="R29" s="147">
        <f t="shared" si="3"/>
        <v>0</v>
      </c>
      <c r="S29" s="148"/>
      <c r="T29" s="23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</row>
    <row r="30" spans="1:32" s="8" customFormat="1" ht="15" customHeight="1">
      <c r="A30" s="378"/>
      <c r="B30" s="40"/>
      <c r="C30" s="442"/>
      <c r="D30" s="443"/>
      <c r="E30" s="114"/>
      <c r="F30" s="386"/>
      <c r="G30" s="387"/>
      <c r="H30" s="147">
        <f t="shared" si="2"/>
        <v>0</v>
      </c>
      <c r="I30" s="431"/>
      <c r="J30" s="373"/>
      <c r="K30" s="374"/>
      <c r="L30" s="150"/>
      <c r="M30" s="137"/>
      <c r="N30" s="138"/>
      <c r="O30" s="49"/>
      <c r="P30" s="388"/>
      <c r="Q30" s="389"/>
      <c r="R30" s="147">
        <f t="shared" ref="R30:R33" si="4">O30*P30</f>
        <v>0</v>
      </c>
      <c r="S30" s="148"/>
      <c r="T30" s="23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</row>
    <row r="31" spans="1:32" s="8" customFormat="1" ht="15" customHeight="1">
      <c r="A31" s="378"/>
      <c r="B31" s="40"/>
      <c r="C31" s="442"/>
      <c r="D31" s="443"/>
      <c r="E31" s="114"/>
      <c r="F31" s="386"/>
      <c r="G31" s="387"/>
      <c r="H31" s="147">
        <f t="shared" si="2"/>
        <v>0</v>
      </c>
      <c r="I31" s="431"/>
      <c r="J31" s="373"/>
      <c r="K31" s="374"/>
      <c r="L31" s="150"/>
      <c r="M31" s="137"/>
      <c r="N31" s="138"/>
      <c r="O31" s="49"/>
      <c r="P31" s="388"/>
      <c r="Q31" s="389"/>
      <c r="R31" s="147">
        <f t="shared" si="4"/>
        <v>0</v>
      </c>
      <c r="S31" s="148"/>
      <c r="T31" s="23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</row>
    <row r="32" spans="1:32" s="8" customFormat="1" ht="15" customHeight="1">
      <c r="A32" s="378"/>
      <c r="B32" s="40"/>
      <c r="C32" s="380"/>
      <c r="D32" s="381"/>
      <c r="E32" s="114"/>
      <c r="F32" s="386"/>
      <c r="G32" s="387"/>
      <c r="H32" s="147">
        <f>E32*F32</f>
        <v>0</v>
      </c>
      <c r="I32" s="431"/>
      <c r="J32" s="373"/>
      <c r="K32" s="374"/>
      <c r="L32" s="150"/>
      <c r="M32" s="137"/>
      <c r="N32" s="138"/>
      <c r="O32" s="49"/>
      <c r="P32" s="388"/>
      <c r="Q32" s="389"/>
      <c r="R32" s="147">
        <f t="shared" si="4"/>
        <v>0</v>
      </c>
      <c r="S32" s="148"/>
      <c r="T32" s="23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</row>
    <row r="33" spans="1:32" s="8" customFormat="1" ht="15" customHeight="1">
      <c r="A33" s="378"/>
      <c r="B33" s="40"/>
      <c r="C33" s="442"/>
      <c r="D33" s="443"/>
      <c r="E33" s="114"/>
      <c r="F33" s="386"/>
      <c r="G33" s="387"/>
      <c r="H33" s="147">
        <f t="shared" si="2"/>
        <v>0</v>
      </c>
      <c r="I33" s="431"/>
      <c r="J33" s="373"/>
      <c r="K33" s="374"/>
      <c r="L33" s="150"/>
      <c r="M33" s="137"/>
      <c r="N33" s="138"/>
      <c r="O33" s="49"/>
      <c r="P33" s="388"/>
      <c r="Q33" s="389"/>
      <c r="R33" s="147">
        <f t="shared" si="4"/>
        <v>0</v>
      </c>
      <c r="S33" s="148"/>
      <c r="T33" s="23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</row>
    <row r="34" spans="1:32" s="8" customFormat="1" ht="15" customHeight="1">
      <c r="A34" s="378"/>
      <c r="B34" s="40"/>
      <c r="C34" s="442"/>
      <c r="D34" s="443"/>
      <c r="E34" s="114"/>
      <c r="F34" s="386"/>
      <c r="G34" s="387"/>
      <c r="H34" s="147">
        <f t="shared" si="2"/>
        <v>0</v>
      </c>
      <c r="I34" s="431"/>
      <c r="J34" s="373"/>
      <c r="K34" s="374"/>
      <c r="L34" s="150"/>
      <c r="M34" s="137"/>
      <c r="N34" s="138"/>
      <c r="O34" s="49"/>
      <c r="P34" s="388"/>
      <c r="Q34" s="389"/>
      <c r="R34" s="147">
        <f t="shared" si="3"/>
        <v>0</v>
      </c>
      <c r="S34" s="148"/>
      <c r="T34" s="23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</row>
    <row r="35" spans="1:32" s="8" customFormat="1" ht="15" customHeight="1">
      <c r="A35" s="378"/>
      <c r="B35" s="40"/>
      <c r="C35" s="442"/>
      <c r="D35" s="443"/>
      <c r="E35" s="114"/>
      <c r="F35" s="386"/>
      <c r="G35" s="387"/>
      <c r="H35" s="453">
        <f t="shared" si="2"/>
        <v>0</v>
      </c>
      <c r="I35" s="454"/>
      <c r="J35" s="373"/>
      <c r="K35" s="374"/>
      <c r="L35" s="150"/>
      <c r="M35" s="137"/>
      <c r="N35" s="138"/>
      <c r="O35" s="49"/>
      <c r="P35" s="388"/>
      <c r="Q35" s="389"/>
      <c r="R35" s="147">
        <f t="shared" si="3"/>
        <v>0</v>
      </c>
      <c r="S35" s="148"/>
      <c r="T35" s="23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</row>
    <row r="36" spans="1:32" s="8" customFormat="1" ht="15" customHeight="1" thickBot="1">
      <c r="A36" s="378"/>
      <c r="B36" s="50"/>
      <c r="C36" s="449"/>
      <c r="D36" s="450"/>
      <c r="E36" s="114"/>
      <c r="F36" s="386"/>
      <c r="G36" s="387"/>
      <c r="H36" s="451">
        <f t="shared" si="2"/>
        <v>0</v>
      </c>
      <c r="I36" s="452"/>
      <c r="J36" s="475"/>
      <c r="K36" s="448"/>
      <c r="L36" s="446"/>
      <c r="M36" s="447"/>
      <c r="N36" s="448"/>
      <c r="O36" s="51"/>
      <c r="P36" s="388"/>
      <c r="Q36" s="389"/>
      <c r="R36" s="147">
        <f t="shared" si="3"/>
        <v>0</v>
      </c>
      <c r="S36" s="148"/>
      <c r="T36" s="23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</row>
    <row r="37" spans="1:32" s="8" customFormat="1" ht="15" customHeight="1" thickTop="1">
      <c r="A37" s="378"/>
      <c r="B37" s="436" t="s">
        <v>51</v>
      </c>
      <c r="C37" s="437"/>
      <c r="D37" s="437"/>
      <c r="E37" s="437"/>
      <c r="F37" s="437"/>
      <c r="G37" s="437"/>
      <c r="H37" s="437"/>
      <c r="I37" s="438"/>
      <c r="J37" s="375">
        <f>H28+H29+H30+H31+H32+H33+H34+H35+H36+R28+R29+R30+R31+R32+R33+R34+R35+R36</f>
        <v>0</v>
      </c>
      <c r="K37" s="375"/>
      <c r="L37" s="375"/>
      <c r="M37" s="375"/>
      <c r="N37" s="375"/>
      <c r="O37" s="375"/>
      <c r="P37" s="375"/>
      <c r="Q37" s="375"/>
      <c r="R37" s="375"/>
      <c r="S37" s="376"/>
      <c r="T37" s="23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</row>
    <row r="38" spans="1:32" s="8" customFormat="1" ht="18" customHeight="1" thickBot="1">
      <c r="A38" s="379"/>
      <c r="B38" s="439"/>
      <c r="C38" s="440"/>
      <c r="D38" s="440"/>
      <c r="E38" s="440"/>
      <c r="F38" s="440"/>
      <c r="G38" s="440"/>
      <c r="H38" s="440"/>
      <c r="I38" s="441"/>
      <c r="J38" s="313">
        <f>SUM(J37)/Q2</f>
        <v>0</v>
      </c>
      <c r="K38" s="313"/>
      <c r="L38" s="313"/>
      <c r="M38" s="313"/>
      <c r="N38" s="313"/>
      <c r="O38" s="313"/>
      <c r="P38" s="313"/>
      <c r="Q38" s="313"/>
      <c r="R38" s="313"/>
      <c r="S38" s="314"/>
      <c r="T38" s="23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</row>
    <row r="39" spans="1:32" s="8" customFormat="1" ht="15" customHeight="1" thickBot="1">
      <c r="T39" s="23"/>
    </row>
    <row r="40" spans="1:32" s="8" customFormat="1" ht="15" customHeight="1" thickBot="1">
      <c r="A40" s="330" t="s">
        <v>6</v>
      </c>
      <c r="B40" s="149" t="s">
        <v>4</v>
      </c>
      <c r="C40" s="143"/>
      <c r="D40" s="105" t="s">
        <v>56</v>
      </c>
      <c r="E40" s="17" t="s">
        <v>55</v>
      </c>
      <c r="F40" s="149" t="s">
        <v>54</v>
      </c>
      <c r="G40" s="144"/>
      <c r="H40" s="149" t="s">
        <v>81</v>
      </c>
      <c r="I40" s="143"/>
      <c r="J40" s="142" t="s">
        <v>4</v>
      </c>
      <c r="K40" s="143"/>
      <c r="L40" s="143"/>
      <c r="M40" s="143"/>
      <c r="N40" s="144"/>
      <c r="O40" s="17" t="s">
        <v>55</v>
      </c>
      <c r="P40" s="149" t="s">
        <v>54</v>
      </c>
      <c r="Q40" s="143"/>
      <c r="R40" s="149" t="s">
        <v>82</v>
      </c>
      <c r="S40" s="162"/>
      <c r="T40" s="23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</row>
    <row r="41" spans="1:32" s="8" customFormat="1" ht="15" customHeight="1" thickTop="1">
      <c r="A41" s="331"/>
      <c r="B41" s="461" t="s">
        <v>37</v>
      </c>
      <c r="C41" s="462"/>
      <c r="D41" s="52">
        <v>4</v>
      </c>
      <c r="E41" s="53"/>
      <c r="F41" s="471">
        <v>10</v>
      </c>
      <c r="G41" s="472"/>
      <c r="H41" s="465">
        <f>D41*E41*F41</f>
        <v>0</v>
      </c>
      <c r="I41" s="466"/>
      <c r="J41" s="133"/>
      <c r="K41" s="134"/>
      <c r="L41" s="134"/>
      <c r="M41" s="134"/>
      <c r="N41" s="135"/>
      <c r="O41" s="54"/>
      <c r="P41" s="467"/>
      <c r="Q41" s="468"/>
      <c r="R41" s="302">
        <f t="shared" ref="R41:R51" si="5">O41*P41</f>
        <v>0</v>
      </c>
      <c r="S41" s="303"/>
      <c r="T41" s="23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</row>
    <row r="42" spans="1:32" s="8" customFormat="1" ht="15" customHeight="1">
      <c r="A42" s="331"/>
      <c r="B42" s="455" t="s">
        <v>42</v>
      </c>
      <c r="C42" s="456"/>
      <c r="D42" s="55">
        <v>4</v>
      </c>
      <c r="E42" s="47"/>
      <c r="F42" s="457">
        <v>5</v>
      </c>
      <c r="G42" s="458"/>
      <c r="H42" s="335">
        <f>D42*E42*F42</f>
        <v>0</v>
      </c>
      <c r="I42" s="336"/>
      <c r="J42" s="136"/>
      <c r="K42" s="137"/>
      <c r="L42" s="137"/>
      <c r="M42" s="137"/>
      <c r="N42" s="138"/>
      <c r="O42" s="56"/>
      <c r="P42" s="307"/>
      <c r="Q42" s="305"/>
      <c r="R42" s="302">
        <f t="shared" si="5"/>
        <v>0</v>
      </c>
      <c r="S42" s="303"/>
      <c r="T42" s="57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</row>
    <row r="43" spans="1:32" s="8" customFormat="1" ht="15" customHeight="1">
      <c r="A43" s="331"/>
      <c r="B43" s="473" t="s">
        <v>43</v>
      </c>
      <c r="C43" s="474"/>
      <c r="D43" s="58">
        <v>4</v>
      </c>
      <c r="E43" s="59"/>
      <c r="F43" s="463">
        <v>20</v>
      </c>
      <c r="G43" s="464"/>
      <c r="H43" s="459">
        <f>D43*E43*F43</f>
        <v>0</v>
      </c>
      <c r="I43" s="460"/>
      <c r="J43" s="139"/>
      <c r="K43" s="140"/>
      <c r="L43" s="140"/>
      <c r="M43" s="140"/>
      <c r="N43" s="141"/>
      <c r="O43" s="60"/>
      <c r="P43" s="197"/>
      <c r="Q43" s="198"/>
      <c r="R43" s="302">
        <f t="shared" si="5"/>
        <v>0</v>
      </c>
      <c r="S43" s="303"/>
      <c r="T43" s="23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</row>
    <row r="44" spans="1:32" s="8" customFormat="1" ht="15" customHeight="1">
      <c r="A44" s="331"/>
      <c r="B44" s="337"/>
      <c r="C44" s="338"/>
      <c r="D44" s="339"/>
      <c r="E44" s="61"/>
      <c r="F44" s="457"/>
      <c r="G44" s="458"/>
      <c r="H44" s="335">
        <f t="shared" ref="H44:H51" si="6">E44*F44</f>
        <v>0</v>
      </c>
      <c r="I44" s="336"/>
      <c r="J44" s="139"/>
      <c r="K44" s="140"/>
      <c r="L44" s="140"/>
      <c r="M44" s="140"/>
      <c r="N44" s="141"/>
      <c r="O44" s="60"/>
      <c r="P44" s="197"/>
      <c r="Q44" s="198"/>
      <c r="R44" s="302">
        <f t="shared" si="5"/>
        <v>0</v>
      </c>
      <c r="S44" s="303"/>
      <c r="T44" s="23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</row>
    <row r="45" spans="1:32" s="8" customFormat="1" ht="15" customHeight="1">
      <c r="A45" s="331"/>
      <c r="B45" s="340"/>
      <c r="C45" s="340"/>
      <c r="D45" s="340"/>
      <c r="E45" s="47"/>
      <c r="F45" s="457"/>
      <c r="G45" s="458"/>
      <c r="H45" s="335">
        <f t="shared" si="6"/>
        <v>0</v>
      </c>
      <c r="I45" s="336"/>
      <c r="J45" s="139"/>
      <c r="K45" s="140"/>
      <c r="L45" s="140"/>
      <c r="M45" s="140"/>
      <c r="N45" s="141"/>
      <c r="O45" s="60"/>
      <c r="P45" s="197"/>
      <c r="Q45" s="198"/>
      <c r="R45" s="302">
        <f t="shared" si="5"/>
        <v>0</v>
      </c>
      <c r="S45" s="303"/>
      <c r="T45" s="23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</row>
    <row r="46" spans="1:32" s="8" customFormat="1" ht="15" customHeight="1">
      <c r="A46" s="331"/>
      <c r="B46" s="433"/>
      <c r="C46" s="433"/>
      <c r="D46" s="433"/>
      <c r="E46" s="62"/>
      <c r="F46" s="358"/>
      <c r="G46" s="359"/>
      <c r="H46" s="335">
        <f t="shared" si="6"/>
        <v>0</v>
      </c>
      <c r="I46" s="336"/>
      <c r="J46" s="139"/>
      <c r="K46" s="140"/>
      <c r="L46" s="140"/>
      <c r="M46" s="140"/>
      <c r="N46" s="141"/>
      <c r="O46" s="60"/>
      <c r="P46" s="197"/>
      <c r="Q46" s="198"/>
      <c r="R46" s="302">
        <f t="shared" si="5"/>
        <v>0</v>
      </c>
      <c r="S46" s="303"/>
      <c r="T46" s="23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</row>
    <row r="47" spans="1:32" s="8" customFormat="1" ht="15" customHeight="1">
      <c r="A47" s="331"/>
      <c r="B47" s="150"/>
      <c r="C47" s="137"/>
      <c r="D47" s="137"/>
      <c r="E47" s="63"/>
      <c r="F47" s="469"/>
      <c r="G47" s="470"/>
      <c r="H47" s="335">
        <f t="shared" si="6"/>
        <v>0</v>
      </c>
      <c r="I47" s="336"/>
      <c r="J47" s="139"/>
      <c r="K47" s="140"/>
      <c r="L47" s="140"/>
      <c r="M47" s="140"/>
      <c r="N47" s="141"/>
      <c r="O47" s="60"/>
      <c r="P47" s="197"/>
      <c r="Q47" s="198"/>
      <c r="R47" s="302">
        <f t="shared" si="5"/>
        <v>0</v>
      </c>
      <c r="S47" s="303"/>
      <c r="T47" s="23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</row>
    <row r="48" spans="1:32" s="8" customFormat="1" ht="15" customHeight="1">
      <c r="A48" s="331"/>
      <c r="B48" s="150"/>
      <c r="C48" s="137"/>
      <c r="D48" s="138"/>
      <c r="E48" s="63"/>
      <c r="F48" s="333"/>
      <c r="G48" s="334"/>
      <c r="H48" s="335">
        <f t="shared" ref="H48" si="7">E48*F48</f>
        <v>0</v>
      </c>
      <c r="I48" s="336"/>
      <c r="J48" s="136"/>
      <c r="K48" s="137"/>
      <c r="L48" s="137"/>
      <c r="M48" s="137"/>
      <c r="N48" s="137"/>
      <c r="O48" s="60"/>
      <c r="P48" s="305"/>
      <c r="Q48" s="306"/>
      <c r="R48" s="302">
        <f t="shared" si="5"/>
        <v>0</v>
      </c>
      <c r="S48" s="303"/>
      <c r="T48" s="23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</row>
    <row r="49" spans="1:32" s="8" customFormat="1" ht="15" customHeight="1">
      <c r="A49" s="331"/>
      <c r="B49" s="150"/>
      <c r="C49" s="137"/>
      <c r="D49" s="138"/>
      <c r="E49" s="63"/>
      <c r="F49" s="333"/>
      <c r="G49" s="334"/>
      <c r="H49" s="335">
        <f t="shared" ref="H49" si="8">E49*F49</f>
        <v>0</v>
      </c>
      <c r="I49" s="336"/>
      <c r="J49" s="136"/>
      <c r="K49" s="137"/>
      <c r="L49" s="137"/>
      <c r="M49" s="137"/>
      <c r="N49" s="138"/>
      <c r="O49" s="56"/>
      <c r="P49" s="307"/>
      <c r="Q49" s="306"/>
      <c r="R49" s="302">
        <f t="shared" si="5"/>
        <v>0</v>
      </c>
      <c r="S49" s="303"/>
      <c r="T49" s="23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</row>
    <row r="50" spans="1:32" s="8" customFormat="1" ht="15" customHeight="1">
      <c r="A50" s="331"/>
      <c r="B50" s="150"/>
      <c r="C50" s="137"/>
      <c r="D50" s="137"/>
      <c r="E50" s="63"/>
      <c r="F50" s="333"/>
      <c r="G50" s="334"/>
      <c r="H50" s="335">
        <f t="shared" si="6"/>
        <v>0</v>
      </c>
      <c r="I50" s="336"/>
      <c r="J50" s="355"/>
      <c r="K50" s="356"/>
      <c r="L50" s="356"/>
      <c r="M50" s="356"/>
      <c r="N50" s="357"/>
      <c r="O50" s="56"/>
      <c r="P50" s="307"/>
      <c r="Q50" s="305"/>
      <c r="R50" s="302">
        <f t="shared" si="5"/>
        <v>0</v>
      </c>
      <c r="S50" s="303"/>
      <c r="T50" s="23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</row>
    <row r="51" spans="1:32" s="8" customFormat="1" ht="15" customHeight="1" thickBot="1">
      <c r="A51" s="331"/>
      <c r="B51" s="343"/>
      <c r="C51" s="344"/>
      <c r="D51" s="344"/>
      <c r="E51" s="64"/>
      <c r="F51" s="346"/>
      <c r="G51" s="347"/>
      <c r="H51" s="350">
        <f t="shared" si="6"/>
        <v>0</v>
      </c>
      <c r="I51" s="351"/>
      <c r="J51" s="352"/>
      <c r="K51" s="353"/>
      <c r="L51" s="353"/>
      <c r="M51" s="353"/>
      <c r="N51" s="354"/>
      <c r="O51" s="65"/>
      <c r="P51" s="427"/>
      <c r="Q51" s="428"/>
      <c r="R51" s="302">
        <f t="shared" si="5"/>
        <v>0</v>
      </c>
      <c r="S51" s="303"/>
      <c r="T51" s="23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</row>
    <row r="52" spans="1:32" s="8" customFormat="1" ht="15" customHeight="1" thickTop="1">
      <c r="A52" s="331"/>
      <c r="B52" s="308">
        <v>0</v>
      </c>
      <c r="C52" s="309"/>
      <c r="D52" s="309"/>
      <c r="E52" s="309"/>
      <c r="F52" s="309"/>
      <c r="G52" s="309"/>
      <c r="H52" s="360">
        <f>SUM(H41:I51)</f>
        <v>0</v>
      </c>
      <c r="I52" s="361"/>
      <c r="J52" s="297">
        <f>R52/Q2</f>
        <v>0</v>
      </c>
      <c r="K52" s="298"/>
      <c r="L52" s="298"/>
      <c r="M52" s="298"/>
      <c r="N52" s="298"/>
      <c r="O52" s="299"/>
      <c r="P52" s="66"/>
      <c r="Q52" s="67"/>
      <c r="R52" s="300">
        <f>SUM(R41:S51)</f>
        <v>0</v>
      </c>
      <c r="S52" s="301"/>
      <c r="T52" s="23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</row>
    <row r="53" spans="1:32" s="8" customFormat="1" ht="18" customHeight="1" thickBot="1">
      <c r="A53" s="332"/>
      <c r="B53" s="310"/>
      <c r="C53" s="311"/>
      <c r="D53" s="311"/>
      <c r="E53" s="311"/>
      <c r="F53" s="311"/>
      <c r="G53" s="311"/>
      <c r="H53" s="362"/>
      <c r="I53" s="363"/>
      <c r="J53" s="312">
        <f>SUM(H52+J52)</f>
        <v>0</v>
      </c>
      <c r="K53" s="313"/>
      <c r="L53" s="313"/>
      <c r="M53" s="313"/>
      <c r="N53" s="313"/>
      <c r="O53" s="313"/>
      <c r="P53" s="313"/>
      <c r="Q53" s="313"/>
      <c r="R53" s="313"/>
      <c r="S53" s="314"/>
      <c r="T53" s="23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</row>
    <row r="54" spans="1:32" s="8" customFormat="1" ht="15" customHeight="1" thickBot="1">
      <c r="A54" s="315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317"/>
      <c r="T54" s="23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</row>
    <row r="55" spans="1:32" s="8" customFormat="1" ht="26.25" customHeight="1" thickBot="1">
      <c r="A55" s="318" t="s">
        <v>7</v>
      </c>
      <c r="B55" s="482" t="s">
        <v>8</v>
      </c>
      <c r="C55" s="478"/>
      <c r="D55" s="478"/>
      <c r="E55" s="478"/>
      <c r="F55" s="478"/>
      <c r="G55" s="478"/>
      <c r="H55" s="478"/>
      <c r="I55" s="483"/>
      <c r="J55" s="478" t="s">
        <v>9</v>
      </c>
      <c r="K55" s="478"/>
      <c r="L55" s="478"/>
      <c r="M55" s="478"/>
      <c r="N55" s="478"/>
      <c r="O55" s="478"/>
      <c r="P55" s="478"/>
      <c r="Q55" s="478"/>
      <c r="R55" s="478"/>
      <c r="S55" s="106" t="e">
        <f>(P72+Q72)/O72</f>
        <v>#DIV/0!</v>
      </c>
      <c r="T55" s="23"/>
      <c r="U55" s="170" t="s">
        <v>77</v>
      </c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2"/>
    </row>
    <row r="56" spans="1:32" s="8" customFormat="1" ht="15" customHeight="1" thickTop="1" thickBot="1">
      <c r="A56" s="319"/>
      <c r="B56" s="107" t="s">
        <v>72</v>
      </c>
      <c r="C56" s="108" t="s">
        <v>73</v>
      </c>
      <c r="D56" s="476" t="s">
        <v>10</v>
      </c>
      <c r="E56" s="295"/>
      <c r="F56" s="476" t="s">
        <v>58</v>
      </c>
      <c r="G56" s="295"/>
      <c r="H56" s="476" t="s">
        <v>57</v>
      </c>
      <c r="I56" s="480"/>
      <c r="J56" s="109" t="s">
        <v>72</v>
      </c>
      <c r="K56" s="294" t="s">
        <v>71</v>
      </c>
      <c r="L56" s="295"/>
      <c r="M56" s="108" t="s">
        <v>59</v>
      </c>
      <c r="N56" s="108" t="s">
        <v>55</v>
      </c>
      <c r="O56" s="108" t="s">
        <v>14</v>
      </c>
      <c r="P56" s="108" t="s">
        <v>83</v>
      </c>
      <c r="Q56" s="481" t="s">
        <v>87</v>
      </c>
      <c r="R56" s="481"/>
      <c r="S56" s="110" t="s">
        <v>15</v>
      </c>
      <c r="T56" s="23"/>
      <c r="U56" s="164" t="s">
        <v>94</v>
      </c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6"/>
    </row>
    <row r="57" spans="1:32" s="8" customFormat="1" ht="15" customHeight="1" thickTop="1">
      <c r="A57" s="320"/>
      <c r="B57" s="68"/>
      <c r="C57" s="69"/>
      <c r="D57" s="341"/>
      <c r="E57" s="342"/>
      <c r="F57" s="341"/>
      <c r="G57" s="342"/>
      <c r="H57" s="341"/>
      <c r="I57" s="345"/>
      <c r="J57" s="70"/>
      <c r="K57" s="348"/>
      <c r="L57" s="349"/>
      <c r="M57" s="71"/>
      <c r="N57" s="72"/>
      <c r="O57" s="73">
        <f t="shared" ref="O57:O70" si="9">M57*N57</f>
        <v>0</v>
      </c>
      <c r="P57" s="1"/>
      <c r="Q57" s="479"/>
      <c r="R57" s="479"/>
      <c r="S57" s="74">
        <f>O57-P57-Q57/Q2</f>
        <v>0</v>
      </c>
      <c r="T57" s="23"/>
      <c r="U57" s="164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6"/>
    </row>
    <row r="58" spans="1:32" s="8" customFormat="1" ht="15" customHeight="1">
      <c r="A58" s="320"/>
      <c r="B58" s="75"/>
      <c r="C58" s="76"/>
      <c r="D58" s="256"/>
      <c r="E58" s="304"/>
      <c r="F58" s="256"/>
      <c r="G58" s="304"/>
      <c r="H58" s="256"/>
      <c r="I58" s="274"/>
      <c r="J58" s="77"/>
      <c r="K58" s="115"/>
      <c r="L58" s="116"/>
      <c r="M58" s="78"/>
      <c r="N58" s="79"/>
      <c r="O58" s="73">
        <f t="shared" si="9"/>
        <v>0</v>
      </c>
      <c r="P58" s="2"/>
      <c r="Q58" s="296"/>
      <c r="R58" s="296"/>
      <c r="S58" s="74">
        <f>O58-P58-Q58/Q2</f>
        <v>0</v>
      </c>
      <c r="T58" s="23"/>
      <c r="U58" s="164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6"/>
    </row>
    <row r="59" spans="1:32" s="8" customFormat="1" ht="15" customHeight="1">
      <c r="A59" s="320"/>
      <c r="B59" s="75"/>
      <c r="C59" s="76"/>
      <c r="D59" s="256"/>
      <c r="E59" s="304"/>
      <c r="F59" s="256"/>
      <c r="G59" s="304"/>
      <c r="H59" s="256"/>
      <c r="I59" s="274"/>
      <c r="J59" s="77"/>
      <c r="K59" s="115"/>
      <c r="L59" s="116"/>
      <c r="M59" s="78"/>
      <c r="N59" s="79"/>
      <c r="O59" s="73">
        <f t="shared" si="9"/>
        <v>0</v>
      </c>
      <c r="P59" s="2"/>
      <c r="Q59" s="296"/>
      <c r="R59" s="296"/>
      <c r="S59" s="74">
        <f>O59-P59-Q59/Q2</f>
        <v>0</v>
      </c>
      <c r="T59" s="23"/>
      <c r="U59" s="164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6"/>
    </row>
    <row r="60" spans="1:32" s="8" customFormat="1" ht="15" customHeight="1">
      <c r="A60" s="320"/>
      <c r="B60" s="75"/>
      <c r="C60" s="76"/>
      <c r="D60" s="256"/>
      <c r="E60" s="304"/>
      <c r="F60" s="256"/>
      <c r="G60" s="304"/>
      <c r="H60" s="256"/>
      <c r="I60" s="274"/>
      <c r="J60" s="77"/>
      <c r="K60" s="115"/>
      <c r="L60" s="116"/>
      <c r="M60" s="78"/>
      <c r="N60" s="79"/>
      <c r="O60" s="73">
        <f t="shared" ref="O60:O63" si="10">M60*N60</f>
        <v>0</v>
      </c>
      <c r="P60" s="2"/>
      <c r="Q60" s="296"/>
      <c r="R60" s="296"/>
      <c r="S60" s="74">
        <f>O60-P60-Q60/Q2</f>
        <v>0</v>
      </c>
      <c r="T60" s="23"/>
      <c r="U60" s="164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6"/>
    </row>
    <row r="61" spans="1:32" s="8" customFormat="1" ht="15" customHeight="1">
      <c r="A61" s="320"/>
      <c r="B61" s="75"/>
      <c r="C61" s="76"/>
      <c r="D61" s="256"/>
      <c r="E61" s="304"/>
      <c r="F61" s="256"/>
      <c r="G61" s="304"/>
      <c r="H61" s="256"/>
      <c r="I61" s="274"/>
      <c r="J61" s="77"/>
      <c r="K61" s="115"/>
      <c r="L61" s="116"/>
      <c r="M61" s="78"/>
      <c r="N61" s="79"/>
      <c r="O61" s="73">
        <f t="shared" si="10"/>
        <v>0</v>
      </c>
      <c r="P61" s="2"/>
      <c r="Q61" s="296"/>
      <c r="R61" s="296"/>
      <c r="S61" s="74">
        <f>O61-P61-Q61/Q2</f>
        <v>0</v>
      </c>
      <c r="T61" s="23"/>
      <c r="U61" s="164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6"/>
    </row>
    <row r="62" spans="1:32" s="8" customFormat="1" ht="15" customHeight="1">
      <c r="A62" s="320"/>
      <c r="B62" s="75"/>
      <c r="C62" s="76"/>
      <c r="D62" s="256"/>
      <c r="E62" s="304"/>
      <c r="F62" s="256"/>
      <c r="G62" s="304"/>
      <c r="H62" s="256"/>
      <c r="I62" s="274"/>
      <c r="J62" s="77"/>
      <c r="K62" s="115"/>
      <c r="L62" s="116"/>
      <c r="M62" s="78"/>
      <c r="N62" s="79"/>
      <c r="O62" s="73">
        <f t="shared" si="10"/>
        <v>0</v>
      </c>
      <c r="P62" s="2"/>
      <c r="Q62" s="296"/>
      <c r="R62" s="296"/>
      <c r="S62" s="74">
        <f>O62-P62-Q62/Q2</f>
        <v>0</v>
      </c>
      <c r="T62" s="23"/>
      <c r="U62" s="164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6"/>
    </row>
    <row r="63" spans="1:32" s="8" customFormat="1" ht="15" customHeight="1">
      <c r="A63" s="320"/>
      <c r="B63" s="75"/>
      <c r="C63" s="76"/>
      <c r="D63" s="256"/>
      <c r="E63" s="304"/>
      <c r="F63" s="256"/>
      <c r="G63" s="304"/>
      <c r="H63" s="256"/>
      <c r="I63" s="274"/>
      <c r="J63" s="77"/>
      <c r="K63" s="115"/>
      <c r="L63" s="116"/>
      <c r="M63" s="78"/>
      <c r="N63" s="79"/>
      <c r="O63" s="73">
        <f t="shared" si="10"/>
        <v>0</v>
      </c>
      <c r="P63" s="2"/>
      <c r="Q63" s="296"/>
      <c r="R63" s="296"/>
      <c r="S63" s="74">
        <f>O63-P63-Q63/Q2</f>
        <v>0</v>
      </c>
      <c r="T63" s="23"/>
      <c r="U63" s="164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6"/>
    </row>
    <row r="64" spans="1:32" s="8" customFormat="1" ht="15" customHeight="1">
      <c r="A64" s="320"/>
      <c r="B64" s="75"/>
      <c r="C64" s="76"/>
      <c r="D64" s="256"/>
      <c r="E64" s="304"/>
      <c r="F64" s="256"/>
      <c r="G64" s="304"/>
      <c r="H64" s="256"/>
      <c r="I64" s="274"/>
      <c r="J64" s="77"/>
      <c r="K64" s="115"/>
      <c r="L64" s="116"/>
      <c r="M64" s="78"/>
      <c r="N64" s="79"/>
      <c r="O64" s="73">
        <f t="shared" si="9"/>
        <v>0</v>
      </c>
      <c r="P64" s="2"/>
      <c r="Q64" s="296"/>
      <c r="R64" s="296"/>
      <c r="S64" s="74">
        <f>O64-P64-Q64/Q2</f>
        <v>0</v>
      </c>
      <c r="T64" s="23"/>
      <c r="U64" s="164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6"/>
    </row>
    <row r="65" spans="1:32" s="8" customFormat="1" ht="15" customHeight="1">
      <c r="A65" s="320"/>
      <c r="B65" s="75"/>
      <c r="C65" s="76"/>
      <c r="D65" s="256"/>
      <c r="E65" s="304"/>
      <c r="F65" s="256"/>
      <c r="G65" s="304"/>
      <c r="H65" s="256"/>
      <c r="I65" s="274"/>
      <c r="J65" s="77"/>
      <c r="K65" s="115"/>
      <c r="L65" s="116"/>
      <c r="M65" s="78"/>
      <c r="N65" s="79"/>
      <c r="O65" s="73">
        <f t="shared" si="9"/>
        <v>0</v>
      </c>
      <c r="P65" s="2"/>
      <c r="Q65" s="296"/>
      <c r="R65" s="296"/>
      <c r="S65" s="74">
        <f>O65-P65-Q65/Q2</f>
        <v>0</v>
      </c>
      <c r="T65" s="23"/>
      <c r="U65" s="164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6"/>
    </row>
    <row r="66" spans="1:32" s="8" customFormat="1" ht="15" customHeight="1">
      <c r="A66" s="320"/>
      <c r="B66" s="75"/>
      <c r="C66" s="76"/>
      <c r="D66" s="256"/>
      <c r="E66" s="304"/>
      <c r="F66" s="256"/>
      <c r="G66" s="304"/>
      <c r="H66" s="256"/>
      <c r="I66" s="274"/>
      <c r="J66" s="77"/>
      <c r="K66" s="115"/>
      <c r="L66" s="116"/>
      <c r="M66" s="78"/>
      <c r="N66" s="79"/>
      <c r="O66" s="73">
        <f t="shared" si="9"/>
        <v>0</v>
      </c>
      <c r="P66" s="2"/>
      <c r="Q66" s="296"/>
      <c r="R66" s="296"/>
      <c r="S66" s="74">
        <f>O66-P66-Q66/Q2</f>
        <v>0</v>
      </c>
      <c r="T66" s="23"/>
      <c r="U66" s="164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6"/>
    </row>
    <row r="67" spans="1:32" s="8" customFormat="1" ht="15" customHeight="1">
      <c r="A67" s="320"/>
      <c r="B67" s="75"/>
      <c r="C67" s="76"/>
      <c r="D67" s="256"/>
      <c r="E67" s="304"/>
      <c r="F67" s="256"/>
      <c r="G67" s="304"/>
      <c r="H67" s="256"/>
      <c r="I67" s="274"/>
      <c r="J67" s="77"/>
      <c r="K67" s="115"/>
      <c r="L67" s="116"/>
      <c r="M67" s="78"/>
      <c r="N67" s="79"/>
      <c r="O67" s="73">
        <f t="shared" si="9"/>
        <v>0</v>
      </c>
      <c r="P67" s="2"/>
      <c r="Q67" s="296"/>
      <c r="R67" s="296"/>
      <c r="S67" s="74">
        <f>O67-P67-Q67/Q2</f>
        <v>0</v>
      </c>
      <c r="T67" s="23"/>
      <c r="U67" s="164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6"/>
    </row>
    <row r="68" spans="1:32" s="8" customFormat="1" ht="15" customHeight="1">
      <c r="A68" s="320"/>
      <c r="B68" s="75"/>
      <c r="C68" s="76"/>
      <c r="D68" s="256"/>
      <c r="E68" s="304"/>
      <c r="F68" s="256"/>
      <c r="G68" s="304"/>
      <c r="H68" s="256"/>
      <c r="I68" s="274"/>
      <c r="J68" s="77"/>
      <c r="K68" s="115"/>
      <c r="L68" s="116"/>
      <c r="M68" s="78"/>
      <c r="N68" s="79"/>
      <c r="O68" s="73">
        <f t="shared" si="9"/>
        <v>0</v>
      </c>
      <c r="P68" s="2"/>
      <c r="Q68" s="296"/>
      <c r="R68" s="296"/>
      <c r="S68" s="74">
        <f>O68-P68-Q68/Q2</f>
        <v>0</v>
      </c>
      <c r="T68" s="23"/>
      <c r="U68" s="164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6"/>
    </row>
    <row r="69" spans="1:32" s="8" customFormat="1" ht="15" customHeight="1">
      <c r="A69" s="320"/>
      <c r="B69" s="75"/>
      <c r="C69" s="76"/>
      <c r="D69" s="256"/>
      <c r="E69" s="304"/>
      <c r="F69" s="256"/>
      <c r="G69" s="304"/>
      <c r="H69" s="256"/>
      <c r="I69" s="274"/>
      <c r="J69" s="77"/>
      <c r="K69" s="115"/>
      <c r="L69" s="116"/>
      <c r="M69" s="78"/>
      <c r="N69" s="79"/>
      <c r="O69" s="73">
        <f t="shared" si="9"/>
        <v>0</v>
      </c>
      <c r="P69" s="2"/>
      <c r="Q69" s="296"/>
      <c r="R69" s="296"/>
      <c r="S69" s="74">
        <f>O69-P69-Q69/Q2</f>
        <v>0</v>
      </c>
      <c r="T69" s="23"/>
      <c r="U69" s="164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6"/>
    </row>
    <row r="70" spans="1:32" s="8" customFormat="1" ht="15" customHeight="1">
      <c r="A70" s="320"/>
      <c r="B70" s="75"/>
      <c r="C70" s="76"/>
      <c r="D70" s="256"/>
      <c r="E70" s="304"/>
      <c r="F70" s="256"/>
      <c r="G70" s="304"/>
      <c r="H70" s="256"/>
      <c r="I70" s="274"/>
      <c r="J70" s="3"/>
      <c r="K70" s="115"/>
      <c r="L70" s="116"/>
      <c r="M70" s="2"/>
      <c r="N70" s="4"/>
      <c r="O70" s="73">
        <f t="shared" si="9"/>
        <v>0</v>
      </c>
      <c r="P70" s="2"/>
      <c r="Q70" s="296"/>
      <c r="R70" s="296"/>
      <c r="S70" s="74">
        <f>O70-P70-Q70/Q2</f>
        <v>0</v>
      </c>
      <c r="T70" s="23"/>
      <c r="U70" s="164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6"/>
    </row>
    <row r="71" spans="1:32" s="8" customFormat="1" ht="15" customHeight="1" thickBot="1">
      <c r="A71" s="320"/>
      <c r="B71" s="80"/>
      <c r="C71" s="81"/>
      <c r="D71" s="176"/>
      <c r="E71" s="196"/>
      <c r="F71" s="176"/>
      <c r="G71" s="196"/>
      <c r="H71" s="176"/>
      <c r="I71" s="179"/>
      <c r="J71" s="324" t="s">
        <v>16</v>
      </c>
      <c r="K71" s="324"/>
      <c r="L71" s="325"/>
      <c r="M71" s="82"/>
      <c r="N71" s="83"/>
      <c r="O71" s="82">
        <f>M71*N71</f>
        <v>0</v>
      </c>
      <c r="P71" s="84">
        <v>0</v>
      </c>
      <c r="Q71" s="326">
        <v>0</v>
      </c>
      <c r="R71" s="327"/>
      <c r="S71" s="85">
        <f>O71-P71-Q71/Q2</f>
        <v>0</v>
      </c>
      <c r="T71" s="23"/>
      <c r="U71" s="164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6"/>
    </row>
    <row r="72" spans="1:32" s="8" customFormat="1" ht="18" customHeight="1" thickTop="1" thickBot="1">
      <c r="A72" s="321"/>
      <c r="B72" s="153" t="s">
        <v>51</v>
      </c>
      <c r="C72" s="154"/>
      <c r="D72" s="322">
        <f>SUM(D57:E71)</f>
        <v>0</v>
      </c>
      <c r="E72" s="323"/>
      <c r="F72" s="322">
        <f>SUM(F57:G71)</f>
        <v>0</v>
      </c>
      <c r="G72" s="323"/>
      <c r="H72" s="322">
        <f>SUM(H57:I71)</f>
        <v>0</v>
      </c>
      <c r="I72" s="323"/>
      <c r="J72" s="328" t="s">
        <v>51</v>
      </c>
      <c r="K72" s="329"/>
      <c r="L72" s="154"/>
      <c r="M72" s="86">
        <f>SUM(M57:M71)</f>
        <v>0</v>
      </c>
      <c r="N72" s="87"/>
      <c r="O72" s="88">
        <f>SUM(O57:O71)</f>
        <v>0</v>
      </c>
      <c r="P72" s="89">
        <f>SUM(P57:P71)</f>
        <v>0</v>
      </c>
      <c r="Q72" s="153">
        <f>SUM(Q57:R71)/Q2</f>
        <v>0</v>
      </c>
      <c r="R72" s="154"/>
      <c r="S72" s="90">
        <f>O72-Q72-P72</f>
        <v>0</v>
      </c>
      <c r="T72" s="23"/>
      <c r="U72" s="167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9"/>
    </row>
    <row r="73" spans="1:32" s="8" customFormat="1" ht="15" customHeight="1" thickBot="1">
      <c r="P73" s="91">
        <f>SUM(P72:R72)</f>
        <v>0</v>
      </c>
      <c r="Q73" s="120">
        <f>SUM(Q57:R70)</f>
        <v>0</v>
      </c>
      <c r="R73" s="121"/>
      <c r="T73" s="23"/>
    </row>
    <row r="74" spans="1:32" s="8" customFormat="1" ht="19.5" customHeight="1" thickBot="1">
      <c r="A74" s="271" t="s">
        <v>61</v>
      </c>
      <c r="B74" s="143"/>
      <c r="C74" s="144"/>
      <c r="D74" s="272" t="s">
        <v>78</v>
      </c>
      <c r="E74" s="273"/>
      <c r="F74" s="149" t="s">
        <v>68</v>
      </c>
      <c r="G74" s="144"/>
      <c r="H74" s="149" t="s">
        <v>12</v>
      </c>
      <c r="I74" s="143"/>
      <c r="J74" s="142" t="s">
        <v>69</v>
      </c>
      <c r="K74" s="143"/>
      <c r="L74" s="143"/>
      <c r="M74" s="143"/>
      <c r="N74" s="142" t="s">
        <v>35</v>
      </c>
      <c r="O74" s="144"/>
      <c r="P74" s="111" t="s">
        <v>92</v>
      </c>
      <c r="Q74" s="202" t="s">
        <v>90</v>
      </c>
      <c r="R74" s="203"/>
      <c r="S74" s="11" t="s">
        <v>34</v>
      </c>
      <c r="T74" s="23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</row>
    <row r="75" spans="1:32" s="8" customFormat="1" ht="28.5" customHeight="1" thickTop="1" thickBot="1">
      <c r="A75" s="280">
        <f>A76/Q2</f>
        <v>0</v>
      </c>
      <c r="B75" s="281"/>
      <c r="C75" s="282"/>
      <c r="D75" s="283">
        <v>0</v>
      </c>
      <c r="E75" s="282"/>
      <c r="F75" s="283">
        <v>0</v>
      </c>
      <c r="G75" s="282"/>
      <c r="H75" s="284">
        <f>S72</f>
        <v>0</v>
      </c>
      <c r="I75" s="252"/>
      <c r="J75" s="251">
        <f>SUM(A75+D75+F75+H75+S75)</f>
        <v>0</v>
      </c>
      <c r="K75" s="252"/>
      <c r="L75" s="252"/>
      <c r="M75" s="252"/>
      <c r="N75" s="251">
        <f>SUM(R11+J25+J38+J53)+H83</f>
        <v>0</v>
      </c>
      <c r="O75" s="253"/>
      <c r="P75" s="92">
        <v>0</v>
      </c>
      <c r="Q75" s="200">
        <f>SUM(J75-N75)-P75</f>
        <v>0</v>
      </c>
      <c r="R75" s="201"/>
      <c r="S75" s="93">
        <f>P71+(Q71/Q2)</f>
        <v>0</v>
      </c>
      <c r="T75" s="23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</row>
    <row r="76" spans="1:32" s="8" customFormat="1" ht="15" customHeight="1" thickBot="1">
      <c r="A76" s="275"/>
      <c r="B76" s="275"/>
      <c r="C76" s="275"/>
      <c r="D76" s="122">
        <f>D75+F75</f>
        <v>0</v>
      </c>
      <c r="E76" s="122"/>
      <c r="F76" s="122"/>
      <c r="G76" s="122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23"/>
      <c r="U76" s="173"/>
      <c r="V76" s="173"/>
      <c r="W76" s="174"/>
      <c r="X76" s="174"/>
      <c r="Y76" s="174"/>
      <c r="Z76" s="174"/>
      <c r="AA76" s="174"/>
      <c r="AB76" s="174"/>
      <c r="AC76" s="174"/>
      <c r="AD76" s="174"/>
      <c r="AE76" s="174"/>
      <c r="AF76" s="174"/>
    </row>
    <row r="77" spans="1:32" s="8" customFormat="1" ht="15" customHeight="1">
      <c r="A77" s="276" t="s">
        <v>17</v>
      </c>
      <c r="B77" s="127" t="s">
        <v>18</v>
      </c>
      <c r="C77" s="287"/>
      <c r="D77" s="287"/>
      <c r="E77" s="288"/>
      <c r="F77" s="291" t="s">
        <v>19</v>
      </c>
      <c r="G77" s="292"/>
      <c r="H77" s="292"/>
      <c r="I77" s="292"/>
      <c r="J77" s="292"/>
      <c r="K77" s="292"/>
      <c r="L77" s="292"/>
      <c r="M77" s="292"/>
      <c r="N77" s="292"/>
      <c r="O77" s="293"/>
      <c r="P77" s="243" t="s">
        <v>20</v>
      </c>
      <c r="Q77" s="244"/>
      <c r="R77" s="247">
        <v>0.5</v>
      </c>
      <c r="S77" s="248"/>
      <c r="T77" s="23"/>
      <c r="U77" s="12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spans="1:32" s="8" customFormat="1" ht="15" customHeight="1" thickBot="1">
      <c r="A78" s="277"/>
      <c r="B78" s="129"/>
      <c r="C78" s="289"/>
      <c r="D78" s="289"/>
      <c r="E78" s="290"/>
      <c r="F78" s="266" t="s">
        <v>21</v>
      </c>
      <c r="G78" s="279"/>
      <c r="H78" s="265" t="s">
        <v>22</v>
      </c>
      <c r="I78" s="265"/>
      <c r="J78" s="264" t="s">
        <v>23</v>
      </c>
      <c r="K78" s="265"/>
      <c r="L78" s="265"/>
      <c r="M78" s="266" t="s">
        <v>24</v>
      </c>
      <c r="N78" s="265"/>
      <c r="O78" s="267"/>
      <c r="P78" s="245"/>
      <c r="Q78" s="246"/>
      <c r="R78" s="249"/>
      <c r="S78" s="250"/>
      <c r="T78" s="23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s="8" customFormat="1" ht="17.25" customHeight="1" thickTop="1">
      <c r="A79" s="277"/>
      <c r="B79" s="193" t="s">
        <v>60</v>
      </c>
      <c r="C79" s="268"/>
      <c r="D79" s="285">
        <v>0</v>
      </c>
      <c r="E79" s="286"/>
      <c r="F79" s="224" t="s">
        <v>62</v>
      </c>
      <c r="G79" s="260"/>
      <c r="H79" s="222">
        <f>R11</f>
        <v>0</v>
      </c>
      <c r="I79" s="222"/>
      <c r="J79" s="223">
        <f>SUM(P11)</f>
        <v>0</v>
      </c>
      <c r="K79" s="222"/>
      <c r="L79" s="222"/>
      <c r="M79" s="224" t="s">
        <v>63</v>
      </c>
      <c r="N79" s="260"/>
      <c r="O79" s="95">
        <v>0</v>
      </c>
      <c r="P79" s="191" t="s">
        <v>25</v>
      </c>
      <c r="Q79" s="192"/>
      <c r="R79" s="193">
        <f>SUM(D80+D81)</f>
        <v>0</v>
      </c>
      <c r="S79" s="194"/>
      <c r="T79" s="23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spans="1:32" s="8" customFormat="1" ht="17.25" customHeight="1">
      <c r="A80" s="277"/>
      <c r="B80" s="269" t="s">
        <v>11</v>
      </c>
      <c r="C80" s="270"/>
      <c r="D80" s="184">
        <f>E72+SUM(F72)</f>
        <v>0</v>
      </c>
      <c r="E80" s="263"/>
      <c r="F80" s="186" t="s">
        <v>64</v>
      </c>
      <c r="G80" s="187"/>
      <c r="H80" s="185">
        <f>J25</f>
        <v>0</v>
      </c>
      <c r="I80" s="185"/>
      <c r="J80" s="184">
        <v>0</v>
      </c>
      <c r="K80" s="185"/>
      <c r="L80" s="185"/>
      <c r="M80" s="186" t="s">
        <v>65</v>
      </c>
      <c r="N80" s="187"/>
      <c r="O80" s="96">
        <v>0</v>
      </c>
      <c r="P80" s="254" t="s">
        <v>91</v>
      </c>
      <c r="Q80" s="255"/>
      <c r="R80" s="256">
        <v>0</v>
      </c>
      <c r="S80" s="257"/>
      <c r="T80" s="97"/>
      <c r="U80" s="6"/>
      <c r="V80" s="6"/>
      <c r="W80" s="6"/>
      <c r="X80" s="6"/>
      <c r="Y80" s="6"/>
      <c r="Z80" s="10"/>
      <c r="AA80" s="10"/>
      <c r="AB80" s="10"/>
      <c r="AC80" s="10"/>
      <c r="AD80" s="10"/>
      <c r="AE80" s="10"/>
      <c r="AF80" s="10"/>
    </row>
    <row r="81" spans="1:32" s="8" customFormat="1" ht="17.25" customHeight="1">
      <c r="A81" s="277"/>
      <c r="B81" s="269" t="s">
        <v>12</v>
      </c>
      <c r="C81" s="270"/>
      <c r="D81" s="184">
        <f>S72</f>
        <v>0</v>
      </c>
      <c r="E81" s="263"/>
      <c r="F81" s="186" t="s">
        <v>66</v>
      </c>
      <c r="G81" s="187"/>
      <c r="H81" s="185">
        <f>J38</f>
        <v>0</v>
      </c>
      <c r="I81" s="185"/>
      <c r="J81" s="184">
        <v>0</v>
      </c>
      <c r="K81" s="185"/>
      <c r="L81" s="185"/>
      <c r="M81" s="186" t="s">
        <v>79</v>
      </c>
      <c r="N81" s="187"/>
      <c r="O81" s="96">
        <v>0</v>
      </c>
      <c r="P81" s="186" t="s">
        <v>13</v>
      </c>
      <c r="Q81" s="187"/>
      <c r="R81" s="258">
        <f>H83+J83</f>
        <v>0</v>
      </c>
      <c r="S81" s="259"/>
      <c r="T81" s="15"/>
      <c r="U81" s="5"/>
      <c r="V81" s="5"/>
      <c r="W81" s="5"/>
      <c r="X81" s="5"/>
      <c r="Y81" s="5"/>
      <c r="Z81" s="10"/>
      <c r="AA81" s="10"/>
      <c r="AB81" s="10"/>
      <c r="AC81" s="10"/>
      <c r="AD81" s="10"/>
      <c r="AE81" s="10"/>
      <c r="AF81" s="10"/>
    </row>
    <row r="82" spans="1:32" s="8" customFormat="1" ht="17.25" customHeight="1">
      <c r="A82" s="277"/>
      <c r="B82" s="261" t="s">
        <v>67</v>
      </c>
      <c r="C82" s="262"/>
      <c r="D82" s="184">
        <f>F75</f>
        <v>0</v>
      </c>
      <c r="E82" s="263"/>
      <c r="F82" s="186" t="s">
        <v>6</v>
      </c>
      <c r="G82" s="187"/>
      <c r="H82" s="185">
        <f>J53</f>
        <v>0</v>
      </c>
      <c r="I82" s="185"/>
      <c r="J82" s="184">
        <v>0</v>
      </c>
      <c r="K82" s="185"/>
      <c r="L82" s="185"/>
      <c r="M82" s="186"/>
      <c r="N82" s="187"/>
      <c r="O82" s="96">
        <v>0</v>
      </c>
      <c r="P82" s="254" t="s">
        <v>88</v>
      </c>
      <c r="Q82" s="255"/>
      <c r="R82" s="256"/>
      <c r="S82" s="257"/>
      <c r="T82" s="23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s="8" customFormat="1" ht="17.25" customHeight="1" thickBot="1">
      <c r="A83" s="277"/>
      <c r="B83" s="176" t="s">
        <v>74</v>
      </c>
      <c r="C83" s="177"/>
      <c r="D83" s="178">
        <f>D75</f>
        <v>0</v>
      </c>
      <c r="E83" s="179"/>
      <c r="F83" s="180" t="s">
        <v>26</v>
      </c>
      <c r="G83" s="181"/>
      <c r="H83" s="182"/>
      <c r="I83" s="182"/>
      <c r="J83" s="178">
        <v>0</v>
      </c>
      <c r="K83" s="183"/>
      <c r="L83" s="183"/>
      <c r="M83" s="195"/>
      <c r="N83" s="196"/>
      <c r="O83" s="98">
        <v>0</v>
      </c>
      <c r="P83" s="195"/>
      <c r="Q83" s="196"/>
      <c r="R83" s="176"/>
      <c r="S83" s="199"/>
      <c r="T83" s="23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 s="8" customFormat="1" ht="16.5" customHeight="1" thickTop="1">
      <c r="A84" s="277"/>
      <c r="B84" s="210" t="s">
        <v>27</v>
      </c>
      <c r="C84" s="211"/>
      <c r="D84" s="214">
        <f>SUM(D79:D83)</f>
        <v>0</v>
      </c>
      <c r="E84" s="215"/>
      <c r="F84" s="218" t="s">
        <v>27</v>
      </c>
      <c r="G84" s="219"/>
      <c r="H84" s="193">
        <f>SUM(H79:I83)</f>
        <v>0</v>
      </c>
      <c r="I84" s="222"/>
      <c r="J84" s="223">
        <f>SUM(J79:L83)</f>
        <v>0</v>
      </c>
      <c r="K84" s="222"/>
      <c r="L84" s="222"/>
      <c r="M84" s="224"/>
      <c r="N84" s="222"/>
      <c r="O84" s="99">
        <f>SUM(O79:O83)</f>
        <v>0</v>
      </c>
      <c r="P84" s="191" t="s">
        <v>28</v>
      </c>
      <c r="Q84" s="192"/>
      <c r="R84" s="193">
        <f>SUM(R79-R80-R81)</f>
        <v>0</v>
      </c>
      <c r="S84" s="194"/>
      <c r="T84" s="23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s="8" customFormat="1" ht="16.5" customHeight="1" thickBot="1">
      <c r="A85" s="277"/>
      <c r="B85" s="212"/>
      <c r="C85" s="213"/>
      <c r="D85" s="216"/>
      <c r="E85" s="217"/>
      <c r="F85" s="220"/>
      <c r="G85" s="221"/>
      <c r="H85" s="176">
        <f>H84+J84+M84+O84</f>
        <v>0</v>
      </c>
      <c r="I85" s="183"/>
      <c r="J85" s="183"/>
      <c r="K85" s="183"/>
      <c r="L85" s="183"/>
      <c r="M85" s="183"/>
      <c r="N85" s="183"/>
      <c r="O85" s="179"/>
      <c r="P85" s="225" t="s">
        <v>29</v>
      </c>
      <c r="Q85" s="226"/>
      <c r="R85" s="227">
        <f>SUM(R84*R77)+R82</f>
        <v>0</v>
      </c>
      <c r="S85" s="228"/>
      <c r="T85" s="23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s="8" customFormat="1" ht="19.5" customHeight="1" thickTop="1">
      <c r="A86" s="277"/>
      <c r="B86" s="229" t="s">
        <v>0</v>
      </c>
      <c r="C86" s="230"/>
      <c r="D86" s="230"/>
      <c r="E86" s="231"/>
      <c r="F86" s="235">
        <f>D84-H85</f>
        <v>0</v>
      </c>
      <c r="G86" s="236"/>
      <c r="H86" s="236"/>
      <c r="I86" s="236"/>
      <c r="J86" s="236"/>
      <c r="K86" s="236"/>
      <c r="L86" s="236"/>
      <c r="M86" s="236"/>
      <c r="N86" s="236"/>
      <c r="O86" s="237"/>
      <c r="P86" s="241" t="s">
        <v>30</v>
      </c>
      <c r="Q86" s="242"/>
      <c r="R86" s="204">
        <f>F86-R85</f>
        <v>0</v>
      </c>
      <c r="S86" s="205"/>
      <c r="T86" s="23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s="8" customFormat="1" ht="19.5" customHeight="1" thickBot="1">
      <c r="A87" s="278"/>
      <c r="B87" s="232"/>
      <c r="C87" s="233"/>
      <c r="D87" s="233"/>
      <c r="E87" s="234"/>
      <c r="F87" s="238"/>
      <c r="G87" s="239"/>
      <c r="H87" s="239"/>
      <c r="I87" s="239"/>
      <c r="J87" s="239"/>
      <c r="K87" s="239"/>
      <c r="L87" s="239"/>
      <c r="M87" s="239"/>
      <c r="N87" s="239"/>
      <c r="O87" s="240"/>
      <c r="P87" s="206" t="s">
        <v>31</v>
      </c>
      <c r="Q87" s="207"/>
      <c r="R87" s="208">
        <f>R86+H72+S75</f>
        <v>0</v>
      </c>
      <c r="S87" s="209"/>
      <c r="T87" s="23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 ht="17.25" customHeight="1">
      <c r="B88" s="477"/>
      <c r="C88" s="477"/>
      <c r="D88" s="477"/>
      <c r="E88" s="477"/>
      <c r="F88" s="477"/>
      <c r="G88" s="100"/>
      <c r="H88" s="100"/>
      <c r="I88" s="100"/>
      <c r="J88" s="100"/>
      <c r="K88" s="100"/>
      <c r="L88" s="100"/>
      <c r="Q88" s="8"/>
      <c r="R88" s="9"/>
      <c r="S88" s="101"/>
      <c r="U88" s="163"/>
      <c r="V88" s="163"/>
      <c r="W88" s="163"/>
      <c r="X88" s="163"/>
      <c r="Y88" s="163"/>
      <c r="Z88" s="102"/>
      <c r="AA88" s="102"/>
      <c r="AB88" s="102"/>
      <c r="AC88" s="102"/>
      <c r="AD88" s="102"/>
    </row>
    <row r="89" spans="1:32">
      <c r="U89" s="163"/>
      <c r="V89" s="163"/>
      <c r="W89" s="163"/>
      <c r="X89" s="163"/>
      <c r="Y89" s="163"/>
      <c r="Z89" s="102"/>
      <c r="AA89" s="102"/>
      <c r="AB89" s="102"/>
      <c r="AC89" s="102"/>
      <c r="AD89" s="102"/>
    </row>
    <row r="90" spans="1:32">
      <c r="U90" s="163"/>
      <c r="V90" s="163"/>
      <c r="W90" s="163"/>
      <c r="X90" s="163"/>
      <c r="Y90" s="163"/>
      <c r="Z90" s="102"/>
      <c r="AA90" s="102"/>
      <c r="AB90" s="102"/>
      <c r="AC90" s="102"/>
      <c r="AD90" s="102"/>
    </row>
    <row r="91" spans="1:32">
      <c r="U91" s="163"/>
      <c r="V91" s="163"/>
      <c r="W91" s="163"/>
      <c r="X91" s="163"/>
      <c r="Y91" s="163"/>
      <c r="Z91" s="102"/>
      <c r="AA91" s="102"/>
      <c r="AB91" s="102"/>
      <c r="AC91" s="102"/>
      <c r="AD91" s="102"/>
    </row>
    <row r="92" spans="1:32">
      <c r="U92" s="163"/>
      <c r="V92" s="163"/>
      <c r="W92" s="163"/>
      <c r="X92" s="163"/>
      <c r="Y92" s="163"/>
      <c r="Z92" s="102"/>
      <c r="AA92" s="102"/>
      <c r="AB92" s="102"/>
      <c r="AC92" s="102"/>
      <c r="AD92" s="102"/>
    </row>
    <row r="93" spans="1:32">
      <c r="U93" s="163"/>
      <c r="V93" s="163"/>
      <c r="W93" s="163"/>
      <c r="X93" s="163"/>
      <c r="Y93" s="163"/>
      <c r="Z93" s="102"/>
      <c r="AA93" s="102"/>
      <c r="AB93" s="102"/>
      <c r="AC93" s="102"/>
      <c r="AD93" s="102"/>
    </row>
  </sheetData>
  <mergeCells count="502">
    <mergeCell ref="C10:D10"/>
    <mergeCell ref="F17:G17"/>
    <mergeCell ref="B11:I12"/>
    <mergeCell ref="C14:D14"/>
    <mergeCell ref="F14:G14"/>
    <mergeCell ref="H27:I27"/>
    <mergeCell ref="H15:I15"/>
    <mergeCell ref="C19:D19"/>
    <mergeCell ref="P33:Q33"/>
    <mergeCell ref="J31:K31"/>
    <mergeCell ref="F33:G33"/>
    <mergeCell ref="H33:I33"/>
    <mergeCell ref="L31:N31"/>
    <mergeCell ref="L32:N32"/>
    <mergeCell ref="J29:K29"/>
    <mergeCell ref="J30:K30"/>
    <mergeCell ref="L29:N29"/>
    <mergeCell ref="H29:I29"/>
    <mergeCell ref="C21:D21"/>
    <mergeCell ref="C29:D29"/>
    <mergeCell ref="C30:D30"/>
    <mergeCell ref="F20:G20"/>
    <mergeCell ref="F19:G19"/>
    <mergeCell ref="H19:I19"/>
    <mergeCell ref="F27:G27"/>
    <mergeCell ref="H31:I31"/>
    <mergeCell ref="C22:D22"/>
    <mergeCell ref="F22:G22"/>
    <mergeCell ref="H22:I22"/>
    <mergeCell ref="F21:G21"/>
    <mergeCell ref="H21:I21"/>
    <mergeCell ref="F28:G28"/>
    <mergeCell ref="A2:B2"/>
    <mergeCell ref="C2:E2"/>
    <mergeCell ref="A3:B3"/>
    <mergeCell ref="C3:D3"/>
    <mergeCell ref="E3:F3"/>
    <mergeCell ref="M6:O6"/>
    <mergeCell ref="R4:S4"/>
    <mergeCell ref="C4:D4"/>
    <mergeCell ref="A5:S5"/>
    <mergeCell ref="A6:A12"/>
    <mergeCell ref="B6:B7"/>
    <mergeCell ref="C6:D7"/>
    <mergeCell ref="E6:E7"/>
    <mergeCell ref="F6:L6"/>
    <mergeCell ref="P6:Q7"/>
    <mergeCell ref="G3:I3"/>
    <mergeCell ref="J3:L3"/>
    <mergeCell ref="M3:O3"/>
    <mergeCell ref="R11:S11"/>
    <mergeCell ref="A4:B4"/>
    <mergeCell ref="Q2:S2"/>
    <mergeCell ref="P3:Q3"/>
    <mergeCell ref="E4:F4"/>
    <mergeCell ref="G4:I4"/>
    <mergeCell ref="C8:D8"/>
    <mergeCell ref="P11:Q11"/>
    <mergeCell ref="C27:D27"/>
    <mergeCell ref="H23:I23"/>
    <mergeCell ref="L23:N23"/>
    <mergeCell ref="A13:S13"/>
    <mergeCell ref="A14:A25"/>
    <mergeCell ref="H14:I14"/>
    <mergeCell ref="F10:G10"/>
    <mergeCell ref="L14:N14"/>
    <mergeCell ref="C9:D9"/>
    <mergeCell ref="F9:G9"/>
    <mergeCell ref="H10:I10"/>
    <mergeCell ref="J15:K15"/>
    <mergeCell ref="J16:K16"/>
    <mergeCell ref="H20:I20"/>
    <mergeCell ref="J23:K23"/>
    <mergeCell ref="J12:S12"/>
    <mergeCell ref="C20:D20"/>
    <mergeCell ref="P20:Q20"/>
    <mergeCell ref="P23:Q23"/>
    <mergeCell ref="R23:S23"/>
    <mergeCell ref="R14:S14"/>
    <mergeCell ref="R16:S16"/>
    <mergeCell ref="B88:F88"/>
    <mergeCell ref="D59:E59"/>
    <mergeCell ref="F59:G59"/>
    <mergeCell ref="H59:I59"/>
    <mergeCell ref="J55:R55"/>
    <mergeCell ref="Q57:R57"/>
    <mergeCell ref="Q66:R66"/>
    <mergeCell ref="Q67:R67"/>
    <mergeCell ref="Q59:R59"/>
    <mergeCell ref="H56:I56"/>
    <mergeCell ref="D58:E58"/>
    <mergeCell ref="F58:G58"/>
    <mergeCell ref="H58:I58"/>
    <mergeCell ref="Q65:R65"/>
    <mergeCell ref="D65:E65"/>
    <mergeCell ref="F65:G65"/>
    <mergeCell ref="H65:I65"/>
    <mergeCell ref="Q56:R56"/>
    <mergeCell ref="D63:E63"/>
    <mergeCell ref="F63:G63"/>
    <mergeCell ref="D67:E67"/>
    <mergeCell ref="B55:I55"/>
    <mergeCell ref="D56:E56"/>
    <mergeCell ref="Q70:R70"/>
    <mergeCell ref="R36:S36"/>
    <mergeCell ref="D62:E62"/>
    <mergeCell ref="Q60:R60"/>
    <mergeCell ref="R35:S35"/>
    <mergeCell ref="R44:S44"/>
    <mergeCell ref="H41:I41"/>
    <mergeCell ref="H40:I40"/>
    <mergeCell ref="F42:G42"/>
    <mergeCell ref="H42:I42"/>
    <mergeCell ref="P41:Q41"/>
    <mergeCell ref="B47:D47"/>
    <mergeCell ref="F47:G47"/>
    <mergeCell ref="F41:G41"/>
    <mergeCell ref="F45:G45"/>
    <mergeCell ref="B43:C43"/>
    <mergeCell ref="J36:K36"/>
    <mergeCell ref="H46:I46"/>
    <mergeCell ref="J45:N45"/>
    <mergeCell ref="H45:I45"/>
    <mergeCell ref="J44:N44"/>
    <mergeCell ref="F56:G56"/>
    <mergeCell ref="J47:N47"/>
    <mergeCell ref="C35:D35"/>
    <mergeCell ref="B49:D49"/>
    <mergeCell ref="J37:S37"/>
    <mergeCell ref="J38:S38"/>
    <mergeCell ref="B42:C42"/>
    <mergeCell ref="F44:G44"/>
    <mergeCell ref="H44:I44"/>
    <mergeCell ref="P45:Q45"/>
    <mergeCell ref="R45:S45"/>
    <mergeCell ref="R42:S42"/>
    <mergeCell ref="P44:Q44"/>
    <mergeCell ref="H43:I43"/>
    <mergeCell ref="B37:I38"/>
    <mergeCell ref="B40:C40"/>
    <mergeCell ref="F40:G40"/>
    <mergeCell ref="B41:C41"/>
    <mergeCell ref="F43:G43"/>
    <mergeCell ref="R41:S41"/>
    <mergeCell ref="R43:S43"/>
    <mergeCell ref="L22:N22"/>
    <mergeCell ref="P22:Q22"/>
    <mergeCell ref="L36:N36"/>
    <mergeCell ref="P32:Q32"/>
    <mergeCell ref="C34:D34"/>
    <mergeCell ref="L33:N33"/>
    <mergeCell ref="F35:G35"/>
    <mergeCell ref="P36:Q36"/>
    <mergeCell ref="C36:D36"/>
    <mergeCell ref="F36:G36"/>
    <mergeCell ref="H36:I36"/>
    <mergeCell ref="L34:N34"/>
    <mergeCell ref="H35:I35"/>
    <mergeCell ref="H34:I34"/>
    <mergeCell ref="J35:K35"/>
    <mergeCell ref="J34:K34"/>
    <mergeCell ref="F34:G34"/>
    <mergeCell ref="P31:Q31"/>
    <mergeCell ref="J32:K32"/>
    <mergeCell ref="J33:K33"/>
    <mergeCell ref="H32:I32"/>
    <mergeCell ref="C31:D31"/>
    <mergeCell ref="F31:G31"/>
    <mergeCell ref="P15:Q15"/>
    <mergeCell ref="P35:Q35"/>
    <mergeCell ref="P51:Q51"/>
    <mergeCell ref="P29:Q29"/>
    <mergeCell ref="P42:Q42"/>
    <mergeCell ref="C18:D18"/>
    <mergeCell ref="F18:G18"/>
    <mergeCell ref="H30:I30"/>
    <mergeCell ref="C17:D17"/>
    <mergeCell ref="L21:N21"/>
    <mergeCell ref="H18:I18"/>
    <mergeCell ref="P17:Q17"/>
    <mergeCell ref="H17:I17"/>
    <mergeCell ref="C15:D15"/>
    <mergeCell ref="F15:G15"/>
    <mergeCell ref="C16:D16"/>
    <mergeCell ref="F16:G16"/>
    <mergeCell ref="H16:I16"/>
    <mergeCell ref="B46:D46"/>
    <mergeCell ref="C23:D23"/>
    <mergeCell ref="F23:G23"/>
    <mergeCell ref="B24:I25"/>
    <mergeCell ref="F32:G32"/>
    <mergeCell ref="C33:D33"/>
    <mergeCell ref="J4:L4"/>
    <mergeCell ref="M4:O4"/>
    <mergeCell ref="P4:Q4"/>
    <mergeCell ref="R17:S17"/>
    <mergeCell ref="J17:K17"/>
    <mergeCell ref="J18:K18"/>
    <mergeCell ref="J19:K19"/>
    <mergeCell ref="J28:K28"/>
    <mergeCell ref="J27:K27"/>
    <mergeCell ref="L15:N15"/>
    <mergeCell ref="L17:N17"/>
    <mergeCell ref="L19:N19"/>
    <mergeCell ref="J20:K20"/>
    <mergeCell ref="J21:K21"/>
    <mergeCell ref="R20:S20"/>
    <mergeCell ref="R9:S9"/>
    <mergeCell ref="R10:S10"/>
    <mergeCell ref="M7:N7"/>
    <mergeCell ref="R15:S15"/>
    <mergeCell ref="R19:S19"/>
    <mergeCell ref="J11:N11"/>
    <mergeCell ref="L18:N18"/>
    <mergeCell ref="P18:Q18"/>
    <mergeCell ref="L20:N20"/>
    <mergeCell ref="F7:G7"/>
    <mergeCell ref="H7:I7"/>
    <mergeCell ref="J7:L7"/>
    <mergeCell ref="H9:I9"/>
    <mergeCell ref="J9:L9"/>
    <mergeCell ref="M9:N9"/>
    <mergeCell ref="P9:Q9"/>
    <mergeCell ref="F8:G8"/>
    <mergeCell ref="H8:I8"/>
    <mergeCell ref="J8:L8"/>
    <mergeCell ref="M8:N8"/>
    <mergeCell ref="P8:Q8"/>
    <mergeCell ref="J10:L10"/>
    <mergeCell ref="P19:Q19"/>
    <mergeCell ref="M10:N10"/>
    <mergeCell ref="L16:N16"/>
    <mergeCell ref="P16:Q16"/>
    <mergeCell ref="L27:N27"/>
    <mergeCell ref="P27:Q27"/>
    <mergeCell ref="J14:K14"/>
    <mergeCell ref="P14:Q14"/>
    <mergeCell ref="J22:K22"/>
    <mergeCell ref="J24:S24"/>
    <mergeCell ref="J25:S25"/>
    <mergeCell ref="A26:S26"/>
    <mergeCell ref="A27:A38"/>
    <mergeCell ref="C28:D28"/>
    <mergeCell ref="H28:I28"/>
    <mergeCell ref="L28:N28"/>
    <mergeCell ref="P28:Q28"/>
    <mergeCell ref="F29:G29"/>
    <mergeCell ref="F30:G30"/>
    <mergeCell ref="L30:N30"/>
    <mergeCell ref="P34:Q34"/>
    <mergeCell ref="P30:Q30"/>
    <mergeCell ref="C32:D32"/>
    <mergeCell ref="Q61:R61"/>
    <mergeCell ref="Q62:R62"/>
    <mergeCell ref="R46:S46"/>
    <mergeCell ref="F48:G48"/>
    <mergeCell ref="H48:I48"/>
    <mergeCell ref="J48:N48"/>
    <mergeCell ref="H61:I61"/>
    <mergeCell ref="F57:G57"/>
    <mergeCell ref="H57:I57"/>
    <mergeCell ref="F51:G51"/>
    <mergeCell ref="K57:L57"/>
    <mergeCell ref="H51:I51"/>
    <mergeCell ref="J51:N51"/>
    <mergeCell ref="H60:I60"/>
    <mergeCell ref="P47:Q47"/>
    <mergeCell ref="F49:G49"/>
    <mergeCell ref="J50:N50"/>
    <mergeCell ref="F46:G46"/>
    <mergeCell ref="J49:N49"/>
    <mergeCell ref="H49:I49"/>
    <mergeCell ref="H47:I47"/>
    <mergeCell ref="H52:I53"/>
    <mergeCell ref="F69:G69"/>
    <mergeCell ref="H69:I69"/>
    <mergeCell ref="A40:A53"/>
    <mergeCell ref="B50:D50"/>
    <mergeCell ref="F50:G50"/>
    <mergeCell ref="H64:I64"/>
    <mergeCell ref="D60:E60"/>
    <mergeCell ref="F60:G60"/>
    <mergeCell ref="H63:I63"/>
    <mergeCell ref="F61:G61"/>
    <mergeCell ref="D66:E66"/>
    <mergeCell ref="H66:I66"/>
    <mergeCell ref="B48:D48"/>
    <mergeCell ref="F67:G67"/>
    <mergeCell ref="F68:G68"/>
    <mergeCell ref="D68:E68"/>
    <mergeCell ref="D64:E64"/>
    <mergeCell ref="D61:E61"/>
    <mergeCell ref="H50:I50"/>
    <mergeCell ref="B44:D44"/>
    <mergeCell ref="B45:D45"/>
    <mergeCell ref="F64:G64"/>
    <mergeCell ref="D57:E57"/>
    <mergeCell ref="B51:D51"/>
    <mergeCell ref="F66:G66"/>
    <mergeCell ref="P48:Q48"/>
    <mergeCell ref="P49:Q49"/>
    <mergeCell ref="F62:G62"/>
    <mergeCell ref="H62:I62"/>
    <mergeCell ref="R50:S50"/>
    <mergeCell ref="K63:L63"/>
    <mergeCell ref="B52:G53"/>
    <mergeCell ref="J53:S53"/>
    <mergeCell ref="A54:S54"/>
    <mergeCell ref="A55:A72"/>
    <mergeCell ref="B72:C72"/>
    <mergeCell ref="D72:E72"/>
    <mergeCell ref="F72:G72"/>
    <mergeCell ref="H72:I72"/>
    <mergeCell ref="H67:I67"/>
    <mergeCell ref="H68:I68"/>
    <mergeCell ref="P50:Q50"/>
    <mergeCell ref="J71:L71"/>
    <mergeCell ref="Q71:R71"/>
    <mergeCell ref="J72:L72"/>
    <mergeCell ref="D70:E70"/>
    <mergeCell ref="F70:G70"/>
    <mergeCell ref="D69:E69"/>
    <mergeCell ref="K70:L70"/>
    <mergeCell ref="J46:N46"/>
    <mergeCell ref="P46:Q46"/>
    <mergeCell ref="K65:L65"/>
    <mergeCell ref="K56:L56"/>
    <mergeCell ref="K58:L58"/>
    <mergeCell ref="K59:L59"/>
    <mergeCell ref="K60:L60"/>
    <mergeCell ref="Q69:R69"/>
    <mergeCell ref="Q68:R68"/>
    <mergeCell ref="J52:O52"/>
    <mergeCell ref="R52:S52"/>
    <mergeCell ref="R51:S51"/>
    <mergeCell ref="Q63:R63"/>
    <mergeCell ref="K66:L66"/>
    <mergeCell ref="K64:L64"/>
    <mergeCell ref="R47:S47"/>
    <mergeCell ref="Q58:R58"/>
    <mergeCell ref="R48:S48"/>
    <mergeCell ref="R49:S49"/>
    <mergeCell ref="K62:L62"/>
    <mergeCell ref="K61:L61"/>
    <mergeCell ref="Q64:R64"/>
    <mergeCell ref="K67:L67"/>
    <mergeCell ref="A74:C74"/>
    <mergeCell ref="D74:E74"/>
    <mergeCell ref="H70:I70"/>
    <mergeCell ref="B80:C80"/>
    <mergeCell ref="D80:E80"/>
    <mergeCell ref="F80:G80"/>
    <mergeCell ref="H80:I80"/>
    <mergeCell ref="A76:C76"/>
    <mergeCell ref="A77:A87"/>
    <mergeCell ref="F78:G78"/>
    <mergeCell ref="H78:I78"/>
    <mergeCell ref="A75:C75"/>
    <mergeCell ref="D75:E75"/>
    <mergeCell ref="F75:G75"/>
    <mergeCell ref="F74:G74"/>
    <mergeCell ref="H75:I75"/>
    <mergeCell ref="H74:I74"/>
    <mergeCell ref="D71:E71"/>
    <mergeCell ref="F71:G71"/>
    <mergeCell ref="H71:I71"/>
    <mergeCell ref="D79:E79"/>
    <mergeCell ref="F79:G79"/>
    <mergeCell ref="B77:E78"/>
    <mergeCell ref="F77:O77"/>
    <mergeCell ref="B82:C82"/>
    <mergeCell ref="D82:E82"/>
    <mergeCell ref="F82:G82"/>
    <mergeCell ref="H82:I82"/>
    <mergeCell ref="J78:L78"/>
    <mergeCell ref="M78:O78"/>
    <mergeCell ref="B79:C79"/>
    <mergeCell ref="B81:C81"/>
    <mergeCell ref="M81:N81"/>
    <mergeCell ref="J80:L80"/>
    <mergeCell ref="M80:N80"/>
    <mergeCell ref="D81:E81"/>
    <mergeCell ref="F81:G81"/>
    <mergeCell ref="H81:I81"/>
    <mergeCell ref="J81:L81"/>
    <mergeCell ref="H79:I79"/>
    <mergeCell ref="P77:Q78"/>
    <mergeCell ref="R77:S78"/>
    <mergeCell ref="J74:M74"/>
    <mergeCell ref="J75:M75"/>
    <mergeCell ref="N74:O74"/>
    <mergeCell ref="N75:O75"/>
    <mergeCell ref="P82:Q82"/>
    <mergeCell ref="R82:S82"/>
    <mergeCell ref="P80:Q80"/>
    <mergeCell ref="R80:S80"/>
    <mergeCell ref="P81:Q81"/>
    <mergeCell ref="R81:S81"/>
    <mergeCell ref="J79:L79"/>
    <mergeCell ref="M79:N79"/>
    <mergeCell ref="R86:S86"/>
    <mergeCell ref="P87:Q87"/>
    <mergeCell ref="R87:S87"/>
    <mergeCell ref="B84:C85"/>
    <mergeCell ref="D84:E85"/>
    <mergeCell ref="F84:G85"/>
    <mergeCell ref="H84:I84"/>
    <mergeCell ref="J84:L84"/>
    <mergeCell ref="M84:N84"/>
    <mergeCell ref="P84:Q84"/>
    <mergeCell ref="R84:S84"/>
    <mergeCell ref="H85:O85"/>
    <mergeCell ref="P85:Q85"/>
    <mergeCell ref="R85:S85"/>
    <mergeCell ref="B86:E87"/>
    <mergeCell ref="F86:O87"/>
    <mergeCell ref="P86:Q86"/>
    <mergeCell ref="B83:C83"/>
    <mergeCell ref="D83:E83"/>
    <mergeCell ref="F83:G83"/>
    <mergeCell ref="H83:I83"/>
    <mergeCell ref="J83:L83"/>
    <mergeCell ref="J82:L82"/>
    <mergeCell ref="M82:N82"/>
    <mergeCell ref="U1:AF1"/>
    <mergeCell ref="V2:X2"/>
    <mergeCell ref="U26:AF26"/>
    <mergeCell ref="U14:AF14"/>
    <mergeCell ref="U15:AF25"/>
    <mergeCell ref="P79:Q79"/>
    <mergeCell ref="R79:S79"/>
    <mergeCell ref="M83:N83"/>
    <mergeCell ref="P83:Q83"/>
    <mergeCell ref="AA11:AC11"/>
    <mergeCell ref="AA12:AC12"/>
    <mergeCell ref="AE7:AF12"/>
    <mergeCell ref="AE6:AF6"/>
    <mergeCell ref="P43:Q43"/>
    <mergeCell ref="R83:S83"/>
    <mergeCell ref="Q75:R75"/>
    <mergeCell ref="Q74:R74"/>
    <mergeCell ref="U93:Y93"/>
    <mergeCell ref="U74:AF75"/>
    <mergeCell ref="U56:AF72"/>
    <mergeCell ref="U55:AF55"/>
    <mergeCell ref="U88:Y88"/>
    <mergeCell ref="U76:V76"/>
    <mergeCell ref="W76:AF76"/>
    <mergeCell ref="U54:AF54"/>
    <mergeCell ref="U41:AF53"/>
    <mergeCell ref="U89:Y89"/>
    <mergeCell ref="U90:Y90"/>
    <mergeCell ref="U91:Y91"/>
    <mergeCell ref="U92:Y92"/>
    <mergeCell ref="Q72:R72"/>
    <mergeCell ref="V4:W4"/>
    <mergeCell ref="X4:Y4"/>
    <mergeCell ref="Z4:AB4"/>
    <mergeCell ref="AC4:AD4"/>
    <mergeCell ref="AE4:AF4"/>
    <mergeCell ref="U5:AF5"/>
    <mergeCell ref="U13:AF13"/>
    <mergeCell ref="U27:AF27"/>
    <mergeCell ref="U28:AF38"/>
    <mergeCell ref="U8:Y8"/>
    <mergeCell ref="U9:Y9"/>
    <mergeCell ref="U10:Y10"/>
    <mergeCell ref="U11:Y11"/>
    <mergeCell ref="U12:Y12"/>
    <mergeCell ref="AA8:AC8"/>
    <mergeCell ref="AA9:AC9"/>
    <mergeCell ref="AA10:AC10"/>
    <mergeCell ref="R40:S40"/>
    <mergeCell ref="U40:AF40"/>
    <mergeCell ref="R34:S34"/>
    <mergeCell ref="R22:S22"/>
    <mergeCell ref="R27:S27"/>
    <mergeCell ref="R18:S18"/>
    <mergeCell ref="K68:L68"/>
    <mergeCell ref="K69:L69"/>
    <mergeCell ref="T6:AD7"/>
    <mergeCell ref="A1:O1"/>
    <mergeCell ref="Q73:R73"/>
    <mergeCell ref="D76:G76"/>
    <mergeCell ref="R3:S3"/>
    <mergeCell ref="P10:Q10"/>
    <mergeCell ref="R6:S7"/>
    <mergeCell ref="R8:S8"/>
    <mergeCell ref="J41:N41"/>
    <mergeCell ref="J42:N42"/>
    <mergeCell ref="J43:N43"/>
    <mergeCell ref="J40:N40"/>
    <mergeCell ref="P21:Q21"/>
    <mergeCell ref="R21:S21"/>
    <mergeCell ref="R32:S32"/>
    <mergeCell ref="R33:S33"/>
    <mergeCell ref="P40:Q40"/>
    <mergeCell ref="L35:N35"/>
    <mergeCell ref="R31:S31"/>
    <mergeCell ref="R28:S28"/>
    <mergeCell ref="R29:S29"/>
    <mergeCell ref="R30:S30"/>
  </mergeCells>
  <phoneticPr fontId="2" type="noConversion"/>
  <printOptions horizontalCentered="1" verticalCentered="1"/>
  <pageMargins left="0.23622047244094491" right="0.23622047244094491" top="0.55118110236220474" bottom="0.35433070866141736" header="0.31496062992125984" footer="0.31496062992125984"/>
  <pageSetup paperSize="9" scale="54" orientation="portrait" r:id="rId1"/>
  <ignoredErrors>
    <ignoredError sqref="R8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정산서양식</vt:lpstr>
      <vt:lpstr>정산서양식!Print_Area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dlthddml</dc:creator>
  <cp:lastModifiedBy>Admin</cp:lastModifiedBy>
  <cp:revision>136</cp:revision>
  <cp:lastPrinted>2025-09-01T06:40:16Z</cp:lastPrinted>
  <dcterms:created xsi:type="dcterms:W3CDTF">2016-07-19T05:11:34Z</dcterms:created>
  <dcterms:modified xsi:type="dcterms:W3CDTF">2025-10-28T01:26:33Z</dcterms:modified>
</cp:coreProperties>
</file>